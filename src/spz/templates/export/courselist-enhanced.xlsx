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rvdp\Documents\Datenbank\excel_templates\"/>
    </mc:Choice>
  </mc:AlternateContent>
  <bookViews>
    <workbookView xWindow="-105" yWindow="-105" windowWidth="23250" windowHeight="12450" activeTab="1"/>
  </bookViews>
  <sheets>
    <sheet name="RAWDATA" sheetId="11" r:id="rId1"/>
    <sheet name="Notenliste" sheetId="9" r:id="rId2"/>
    <sheet name="Notenverteilung" sheetId="8" r:id="rId3"/>
    <sheet name="Printlist" sheetId="10" r:id="rId4"/>
    <sheet name="Paricipantlist" sheetId="12" r:id="rId5"/>
    <sheet name="Teilnehmer" sheetId="13" r:id="rId6"/>
  </sheets>
  <definedNames>
    <definedName name="kursname">Notenliste!$A$52:$A$60</definedName>
    <definedName name="semester">Notenliste!$D$52:$D$62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2" i="9"/>
  <c r="E3" i="9" l="1"/>
  <c r="E4" i="9"/>
  <c r="F4" i="9" s="1"/>
  <c r="E5" i="9"/>
  <c r="F5" i="9" s="1"/>
  <c r="E6" i="9"/>
  <c r="E7" i="9"/>
  <c r="F7" i="9" s="1"/>
  <c r="E8" i="9"/>
  <c r="E9" i="9"/>
  <c r="F9" i="9" s="1"/>
  <c r="E10" i="9"/>
  <c r="E11" i="9"/>
  <c r="F11" i="9" s="1"/>
  <c r="E12" i="9"/>
  <c r="E13" i="9"/>
  <c r="F13" i="9" s="1"/>
  <c r="E14" i="9"/>
  <c r="E15" i="9"/>
  <c r="F15" i="9" s="1"/>
  <c r="E16" i="9"/>
  <c r="E17" i="9"/>
  <c r="F17" i="9" s="1"/>
  <c r="E18" i="9"/>
  <c r="E19" i="9"/>
  <c r="F19" i="9" s="1"/>
  <c r="E20" i="9"/>
  <c r="F20" i="9" s="1"/>
  <c r="E21" i="9"/>
  <c r="F21" i="9" s="1"/>
  <c r="E22" i="9"/>
  <c r="E23" i="9"/>
  <c r="F23" i="9" s="1"/>
  <c r="E24" i="9"/>
  <c r="E25" i="9"/>
  <c r="F25" i="9" s="1"/>
  <c r="E26" i="9"/>
  <c r="E27" i="9"/>
  <c r="F27" i="9" s="1"/>
  <c r="E28" i="9"/>
  <c r="E29" i="9"/>
  <c r="F29" i="9" s="1"/>
  <c r="E30" i="9"/>
  <c r="E31" i="9"/>
  <c r="F31" i="9" s="1"/>
  <c r="E32" i="9"/>
  <c r="E33" i="9"/>
  <c r="E34" i="9"/>
  <c r="E35" i="9"/>
  <c r="F35" i="9" s="1"/>
  <c r="E36" i="9"/>
  <c r="F36" i="9" s="1"/>
  <c r="E2" i="9"/>
  <c r="B7" i="12"/>
  <c r="C7" i="12"/>
  <c r="D7" i="12"/>
  <c r="E7" i="12"/>
  <c r="B8" i="12"/>
  <c r="C8" i="12"/>
  <c r="D8" i="12"/>
  <c r="E8" i="12"/>
  <c r="B9" i="12"/>
  <c r="C9" i="12"/>
  <c r="D9" i="12"/>
  <c r="E9" i="12"/>
  <c r="B10" i="12"/>
  <c r="C10" i="12"/>
  <c r="D10" i="12"/>
  <c r="E10" i="12"/>
  <c r="B11" i="12"/>
  <c r="C11" i="12"/>
  <c r="D11" i="12"/>
  <c r="E11" i="12"/>
  <c r="B12" i="12"/>
  <c r="C12" i="12"/>
  <c r="D12" i="12"/>
  <c r="E12" i="12"/>
  <c r="B13" i="12"/>
  <c r="C13" i="12"/>
  <c r="D13" i="12"/>
  <c r="E13" i="12"/>
  <c r="B14" i="12"/>
  <c r="C14" i="12"/>
  <c r="D14" i="12"/>
  <c r="E14" i="12"/>
  <c r="B15" i="12"/>
  <c r="C15" i="12"/>
  <c r="D15" i="12"/>
  <c r="E15" i="12"/>
  <c r="B16" i="12"/>
  <c r="C16" i="12"/>
  <c r="D16" i="12"/>
  <c r="E16" i="12"/>
  <c r="B17" i="12"/>
  <c r="C17" i="12"/>
  <c r="D17" i="12"/>
  <c r="E17" i="12"/>
  <c r="B18" i="12"/>
  <c r="C18" i="12"/>
  <c r="D18" i="12"/>
  <c r="E18" i="12"/>
  <c r="B19" i="12"/>
  <c r="C19" i="12"/>
  <c r="D19" i="12"/>
  <c r="E19" i="12"/>
  <c r="B20" i="12"/>
  <c r="C20" i="12"/>
  <c r="D20" i="12"/>
  <c r="E20" i="12"/>
  <c r="B21" i="12"/>
  <c r="C21" i="12"/>
  <c r="D21" i="12"/>
  <c r="E21" i="12"/>
  <c r="B22" i="12"/>
  <c r="C22" i="12"/>
  <c r="D22" i="12"/>
  <c r="E22" i="12"/>
  <c r="B23" i="12"/>
  <c r="C23" i="12"/>
  <c r="D23" i="12"/>
  <c r="E23" i="12"/>
  <c r="B24" i="12"/>
  <c r="C24" i="12"/>
  <c r="D24" i="12"/>
  <c r="E24" i="12"/>
  <c r="B25" i="12"/>
  <c r="C25" i="12"/>
  <c r="D25" i="12"/>
  <c r="E25" i="12"/>
  <c r="B26" i="12"/>
  <c r="C26" i="12"/>
  <c r="D26" i="12"/>
  <c r="E26" i="12"/>
  <c r="B27" i="12"/>
  <c r="C27" i="12"/>
  <c r="D27" i="12"/>
  <c r="E27" i="12"/>
  <c r="B28" i="12"/>
  <c r="C28" i="12"/>
  <c r="D28" i="12"/>
  <c r="E28" i="12"/>
  <c r="B29" i="12"/>
  <c r="C29" i="12"/>
  <c r="D29" i="12"/>
  <c r="E29" i="12"/>
  <c r="B30" i="12"/>
  <c r="C30" i="12"/>
  <c r="D30" i="12"/>
  <c r="E30" i="12"/>
  <c r="B31" i="12"/>
  <c r="C31" i="12"/>
  <c r="D31" i="12"/>
  <c r="E31" i="12"/>
  <c r="B32" i="12"/>
  <c r="C32" i="12"/>
  <c r="D32" i="12"/>
  <c r="E32" i="12"/>
  <c r="B33" i="12"/>
  <c r="C33" i="12"/>
  <c r="D33" i="12"/>
  <c r="E33" i="12"/>
  <c r="B34" i="12"/>
  <c r="C34" i="12"/>
  <c r="D34" i="12"/>
  <c r="E34" i="12"/>
  <c r="B35" i="12"/>
  <c r="C35" i="12"/>
  <c r="D35" i="12"/>
  <c r="E35" i="12"/>
  <c r="B36" i="12"/>
  <c r="C36" i="12"/>
  <c r="D36" i="12"/>
  <c r="E36" i="12"/>
  <c r="B37" i="12"/>
  <c r="C37" i="12"/>
  <c r="D37" i="12"/>
  <c r="E37" i="12"/>
  <c r="B38" i="12"/>
  <c r="C38" i="12"/>
  <c r="D38" i="12"/>
  <c r="E38" i="12"/>
  <c r="B39" i="12"/>
  <c r="C39" i="12"/>
  <c r="D39" i="12"/>
  <c r="E39" i="12"/>
  <c r="B40" i="12"/>
  <c r="C40" i="12"/>
  <c r="D40" i="12"/>
  <c r="E40" i="12"/>
  <c r="B5" i="10"/>
  <c r="C5" i="10"/>
  <c r="D5" i="10"/>
  <c r="E5" i="10"/>
  <c r="F5" i="10"/>
  <c r="H5" i="10"/>
  <c r="I5" i="10"/>
  <c r="B6" i="10"/>
  <c r="C6" i="10"/>
  <c r="D6" i="10"/>
  <c r="E6" i="10"/>
  <c r="F6" i="10"/>
  <c r="H6" i="10"/>
  <c r="I6" i="10"/>
  <c r="B7" i="10"/>
  <c r="C7" i="10"/>
  <c r="D7" i="10"/>
  <c r="E7" i="10"/>
  <c r="F7" i="10"/>
  <c r="H7" i="10"/>
  <c r="I7" i="10"/>
  <c r="B8" i="10"/>
  <c r="C8" i="10"/>
  <c r="D8" i="10"/>
  <c r="E8" i="10"/>
  <c r="F8" i="10"/>
  <c r="H8" i="10"/>
  <c r="I8" i="10"/>
  <c r="B9" i="10"/>
  <c r="C9" i="10"/>
  <c r="D9" i="10"/>
  <c r="E9" i="10"/>
  <c r="F9" i="10"/>
  <c r="H9" i="10"/>
  <c r="I9" i="10"/>
  <c r="B10" i="10"/>
  <c r="C10" i="10"/>
  <c r="D10" i="10"/>
  <c r="E10" i="10"/>
  <c r="F10" i="10"/>
  <c r="H10" i="10"/>
  <c r="I10" i="10"/>
  <c r="B11" i="10"/>
  <c r="C11" i="10"/>
  <c r="D11" i="10"/>
  <c r="E11" i="10"/>
  <c r="F11" i="10"/>
  <c r="H11" i="10"/>
  <c r="I11" i="10"/>
  <c r="B12" i="10"/>
  <c r="C12" i="10"/>
  <c r="D12" i="10"/>
  <c r="E12" i="10"/>
  <c r="F12" i="10"/>
  <c r="H12" i="10"/>
  <c r="I12" i="10"/>
  <c r="B13" i="10"/>
  <c r="C13" i="10"/>
  <c r="D13" i="10"/>
  <c r="E13" i="10"/>
  <c r="F13" i="10"/>
  <c r="H13" i="10"/>
  <c r="I13" i="10"/>
  <c r="B14" i="10"/>
  <c r="C14" i="10"/>
  <c r="D14" i="10"/>
  <c r="E14" i="10"/>
  <c r="F14" i="10"/>
  <c r="H14" i="10"/>
  <c r="I14" i="10"/>
  <c r="B15" i="10"/>
  <c r="C15" i="10"/>
  <c r="D15" i="10"/>
  <c r="E15" i="10"/>
  <c r="F15" i="10"/>
  <c r="H15" i="10"/>
  <c r="I15" i="10"/>
  <c r="B16" i="10"/>
  <c r="C16" i="10"/>
  <c r="D16" i="10"/>
  <c r="E16" i="10"/>
  <c r="F16" i="10"/>
  <c r="H16" i="10"/>
  <c r="I16" i="10"/>
  <c r="B17" i="10"/>
  <c r="C17" i="10"/>
  <c r="D17" i="10"/>
  <c r="E17" i="10"/>
  <c r="F17" i="10"/>
  <c r="H17" i="10"/>
  <c r="I17" i="10"/>
  <c r="B18" i="10"/>
  <c r="C18" i="10"/>
  <c r="D18" i="10"/>
  <c r="E18" i="10"/>
  <c r="F18" i="10"/>
  <c r="H18" i="10"/>
  <c r="I18" i="10"/>
  <c r="B19" i="10"/>
  <c r="C19" i="10"/>
  <c r="D19" i="10"/>
  <c r="E19" i="10"/>
  <c r="F19" i="10"/>
  <c r="H19" i="10"/>
  <c r="I19" i="10"/>
  <c r="B20" i="10"/>
  <c r="C20" i="10"/>
  <c r="D20" i="10"/>
  <c r="E20" i="10"/>
  <c r="F20" i="10"/>
  <c r="H20" i="10"/>
  <c r="I20" i="10"/>
  <c r="B21" i="10"/>
  <c r="C21" i="10"/>
  <c r="D21" i="10"/>
  <c r="E21" i="10"/>
  <c r="F21" i="10"/>
  <c r="H21" i="10"/>
  <c r="I21" i="10"/>
  <c r="B22" i="10"/>
  <c r="C22" i="10"/>
  <c r="D22" i="10"/>
  <c r="E22" i="10"/>
  <c r="F22" i="10"/>
  <c r="H22" i="10"/>
  <c r="I22" i="10"/>
  <c r="B23" i="10"/>
  <c r="C23" i="10"/>
  <c r="D23" i="10"/>
  <c r="E23" i="10"/>
  <c r="F23" i="10"/>
  <c r="H23" i="10"/>
  <c r="I23" i="10"/>
  <c r="B24" i="10"/>
  <c r="C24" i="10"/>
  <c r="D24" i="10"/>
  <c r="E24" i="10"/>
  <c r="F24" i="10"/>
  <c r="H24" i="10"/>
  <c r="I24" i="10"/>
  <c r="B25" i="10"/>
  <c r="C25" i="10"/>
  <c r="D25" i="10"/>
  <c r="E25" i="10"/>
  <c r="F25" i="10"/>
  <c r="H25" i="10"/>
  <c r="I25" i="10"/>
  <c r="B26" i="10"/>
  <c r="C26" i="10"/>
  <c r="D26" i="10"/>
  <c r="E26" i="10"/>
  <c r="F26" i="10"/>
  <c r="H26" i="10"/>
  <c r="I26" i="10"/>
  <c r="B27" i="10"/>
  <c r="C27" i="10"/>
  <c r="D27" i="10"/>
  <c r="E27" i="10"/>
  <c r="F27" i="10"/>
  <c r="H27" i="10"/>
  <c r="I27" i="10"/>
  <c r="B28" i="10"/>
  <c r="C28" i="10"/>
  <c r="D28" i="10"/>
  <c r="E28" i="10"/>
  <c r="F28" i="10"/>
  <c r="H28" i="10"/>
  <c r="I28" i="10"/>
  <c r="B29" i="10"/>
  <c r="C29" i="10"/>
  <c r="D29" i="10"/>
  <c r="E29" i="10"/>
  <c r="F29" i="10"/>
  <c r="H29" i="10"/>
  <c r="I29" i="10"/>
  <c r="B30" i="10"/>
  <c r="C30" i="10"/>
  <c r="D30" i="10"/>
  <c r="E30" i="10"/>
  <c r="F30" i="10"/>
  <c r="H30" i="10"/>
  <c r="I30" i="10"/>
  <c r="B31" i="10"/>
  <c r="C31" i="10"/>
  <c r="D31" i="10"/>
  <c r="E31" i="10"/>
  <c r="F31" i="10"/>
  <c r="H31" i="10"/>
  <c r="I31" i="10"/>
  <c r="B32" i="10"/>
  <c r="C32" i="10"/>
  <c r="D32" i="10"/>
  <c r="E32" i="10"/>
  <c r="F32" i="10"/>
  <c r="H32" i="10"/>
  <c r="I32" i="10"/>
  <c r="B33" i="10"/>
  <c r="C33" i="10"/>
  <c r="D33" i="10"/>
  <c r="E33" i="10"/>
  <c r="F33" i="10"/>
  <c r="H33" i="10"/>
  <c r="I33" i="10"/>
  <c r="B34" i="10"/>
  <c r="C34" i="10"/>
  <c r="D34" i="10"/>
  <c r="E34" i="10"/>
  <c r="F34" i="10"/>
  <c r="H34" i="10"/>
  <c r="I34" i="10"/>
  <c r="B35" i="10"/>
  <c r="C35" i="10"/>
  <c r="D35" i="10"/>
  <c r="E35" i="10"/>
  <c r="F35" i="10"/>
  <c r="H35" i="10"/>
  <c r="I35" i="10"/>
  <c r="B36" i="10"/>
  <c r="C36" i="10"/>
  <c r="D36" i="10"/>
  <c r="E36" i="10"/>
  <c r="F36" i="10"/>
  <c r="H36" i="10"/>
  <c r="I36" i="10"/>
  <c r="B37" i="10"/>
  <c r="C37" i="10"/>
  <c r="D37" i="10"/>
  <c r="E37" i="10"/>
  <c r="F37" i="10"/>
  <c r="H37" i="10"/>
  <c r="I37" i="10"/>
  <c r="B38" i="10"/>
  <c r="C38" i="10"/>
  <c r="D38" i="10"/>
  <c r="E38" i="10"/>
  <c r="F38" i="10"/>
  <c r="H38" i="10"/>
  <c r="I38" i="10"/>
  <c r="M28" i="10" l="1"/>
  <c r="J28" i="10"/>
  <c r="L28" i="10"/>
  <c r="K28" i="10" s="1"/>
  <c r="M22" i="10"/>
  <c r="J22" i="10"/>
  <c r="L22" i="10"/>
  <c r="K22" i="10" s="1"/>
  <c r="J33" i="10"/>
  <c r="L33" i="10"/>
  <c r="K33" i="10" s="1"/>
  <c r="M33" i="10"/>
  <c r="J21" i="10"/>
  <c r="L21" i="10"/>
  <c r="K21" i="10" s="1"/>
  <c r="M21" i="10"/>
  <c r="L37" i="10"/>
  <c r="K37" i="10" s="1"/>
  <c r="M37" i="10"/>
  <c r="J37" i="10"/>
  <c r="L31" i="10"/>
  <c r="K31" i="10" s="1"/>
  <c r="J31" i="10"/>
  <c r="M31" i="10"/>
  <c r="L25" i="10"/>
  <c r="K25" i="10" s="1"/>
  <c r="M25" i="10"/>
  <c r="J25" i="10"/>
  <c r="L19" i="10"/>
  <c r="K19" i="10" s="1"/>
  <c r="M19" i="10"/>
  <c r="J19" i="10"/>
  <c r="L13" i="10"/>
  <c r="K13" i="10" s="1"/>
  <c r="M13" i="10"/>
  <c r="J13" i="10"/>
  <c r="L7" i="10"/>
  <c r="K7" i="10" s="1"/>
  <c r="J7" i="10"/>
  <c r="M7" i="10"/>
  <c r="M34" i="10"/>
  <c r="J34" i="10"/>
  <c r="L34" i="10"/>
  <c r="K34" i="10" s="1"/>
  <c r="L36" i="10"/>
  <c r="K36" i="10" s="1"/>
  <c r="M36" i="10"/>
  <c r="J36" i="10"/>
  <c r="L30" i="10"/>
  <c r="K30" i="10" s="1"/>
  <c r="M30" i="10"/>
  <c r="J30" i="10"/>
  <c r="L24" i="10"/>
  <c r="K24" i="10" s="1"/>
  <c r="M24" i="10"/>
  <c r="J24" i="10"/>
  <c r="L18" i="10"/>
  <c r="K18" i="10" s="1"/>
  <c r="M18" i="10"/>
  <c r="J18" i="10"/>
  <c r="L12" i="10"/>
  <c r="K12" i="10" s="1"/>
  <c r="M12" i="10"/>
  <c r="J12" i="10"/>
  <c r="L6" i="10"/>
  <c r="K6" i="10" s="1"/>
  <c r="M6" i="10"/>
  <c r="J6" i="10"/>
  <c r="L35" i="10"/>
  <c r="K35" i="10" s="1"/>
  <c r="M35" i="10"/>
  <c r="J35" i="10"/>
  <c r="L29" i="10"/>
  <c r="K29" i="10" s="1"/>
  <c r="M29" i="10"/>
  <c r="J29" i="10"/>
  <c r="L23" i="10"/>
  <c r="K23" i="10" s="1"/>
  <c r="M23" i="10"/>
  <c r="J23" i="10"/>
  <c r="L17" i="10"/>
  <c r="K17" i="10" s="1"/>
  <c r="M17" i="10"/>
  <c r="J17" i="10"/>
  <c r="L11" i="10"/>
  <c r="K11" i="10" s="1"/>
  <c r="M11" i="10"/>
  <c r="J11" i="10"/>
  <c r="L5" i="10"/>
  <c r="K5" i="10" s="1"/>
  <c r="M5" i="10"/>
  <c r="J5" i="10"/>
  <c r="M16" i="10"/>
  <c r="J16" i="10"/>
  <c r="L16" i="10"/>
  <c r="K16" i="10" s="1"/>
  <c r="M10" i="10"/>
  <c r="J10" i="10"/>
  <c r="L10" i="10"/>
  <c r="K10" i="10" s="1"/>
  <c r="J27" i="10"/>
  <c r="L27" i="10"/>
  <c r="K27" i="10" s="1"/>
  <c r="M27" i="10"/>
  <c r="J15" i="10"/>
  <c r="M15" i="10"/>
  <c r="L15" i="10"/>
  <c r="K15" i="10" s="1"/>
  <c r="J9" i="10"/>
  <c r="L9" i="10"/>
  <c r="K9" i="10" s="1"/>
  <c r="M9" i="10"/>
  <c r="J38" i="10"/>
  <c r="L38" i="10"/>
  <c r="K38" i="10" s="1"/>
  <c r="M38" i="10"/>
  <c r="L32" i="10"/>
  <c r="K32" i="10" s="1"/>
  <c r="J32" i="10"/>
  <c r="M32" i="10"/>
  <c r="L26" i="10"/>
  <c r="K26" i="10" s="1"/>
  <c r="M26" i="10"/>
  <c r="J26" i="10"/>
  <c r="L20" i="10"/>
  <c r="K20" i="10" s="1"/>
  <c r="J20" i="10"/>
  <c r="M20" i="10"/>
  <c r="L14" i="10"/>
  <c r="K14" i="10" s="1"/>
  <c r="M14" i="10"/>
  <c r="J14" i="10"/>
  <c r="L8" i="10"/>
  <c r="K8" i="10" s="1"/>
  <c r="J8" i="10"/>
  <c r="M8" i="10"/>
  <c r="F2" i="9"/>
  <c r="F33" i="9"/>
  <c r="F32" i="9"/>
  <c r="F28" i="9"/>
  <c r="F24" i="9"/>
  <c r="F16" i="9"/>
  <c r="F12" i="9"/>
  <c r="F8" i="9"/>
  <c r="F3" i="9"/>
  <c r="F34" i="9"/>
  <c r="F30" i="9"/>
  <c r="F26" i="9"/>
  <c r="F22" i="9"/>
  <c r="F18" i="9"/>
  <c r="F14" i="9"/>
  <c r="F10" i="9"/>
  <c r="F6" i="9"/>
  <c r="A3" i="9"/>
  <c r="B3" i="9"/>
  <c r="C3" i="9"/>
  <c r="D3" i="9"/>
  <c r="D3" i="13" s="1"/>
  <c r="J3" i="9"/>
  <c r="A4" i="9"/>
  <c r="B4" i="9"/>
  <c r="C4" i="9"/>
  <c r="D4" i="9"/>
  <c r="D4" i="13" s="1"/>
  <c r="J4" i="9"/>
  <c r="A5" i="9"/>
  <c r="B5" i="9"/>
  <c r="C5" i="9"/>
  <c r="D5" i="9"/>
  <c r="D5" i="13" s="1"/>
  <c r="J5" i="9"/>
  <c r="A6" i="9"/>
  <c r="B6" i="9"/>
  <c r="C6" i="9"/>
  <c r="D6" i="9"/>
  <c r="D6" i="13" s="1"/>
  <c r="J6" i="9"/>
  <c r="A7" i="9"/>
  <c r="B7" i="9"/>
  <c r="C7" i="9"/>
  <c r="D7" i="9"/>
  <c r="D7" i="13" s="1"/>
  <c r="J7" i="9"/>
  <c r="A8" i="9"/>
  <c r="B8" i="9"/>
  <c r="C8" i="9"/>
  <c r="D8" i="9"/>
  <c r="D8" i="13" s="1"/>
  <c r="J8" i="9"/>
  <c r="A9" i="9"/>
  <c r="B9" i="9"/>
  <c r="C9" i="9"/>
  <c r="D9" i="9"/>
  <c r="D9" i="13" s="1"/>
  <c r="J9" i="9"/>
  <c r="A10" i="9"/>
  <c r="B10" i="9"/>
  <c r="C10" i="9"/>
  <c r="D10" i="9"/>
  <c r="D10" i="13" s="1"/>
  <c r="J10" i="9"/>
  <c r="A11" i="9"/>
  <c r="B11" i="9"/>
  <c r="C11" i="9"/>
  <c r="D11" i="9"/>
  <c r="D11" i="13" s="1"/>
  <c r="J11" i="9"/>
  <c r="A12" i="9"/>
  <c r="B12" i="9"/>
  <c r="C12" i="9"/>
  <c r="D12" i="9"/>
  <c r="D12" i="13" s="1"/>
  <c r="J12" i="9"/>
  <c r="A13" i="9"/>
  <c r="B13" i="9"/>
  <c r="C13" i="9"/>
  <c r="D13" i="9"/>
  <c r="D13" i="13" s="1"/>
  <c r="J13" i="9"/>
  <c r="A14" i="9"/>
  <c r="B14" i="9"/>
  <c r="C14" i="9"/>
  <c r="D14" i="9"/>
  <c r="D14" i="13" s="1"/>
  <c r="J14" i="9"/>
  <c r="A15" i="9"/>
  <c r="B15" i="9"/>
  <c r="C15" i="9"/>
  <c r="D15" i="9"/>
  <c r="D15" i="13" s="1"/>
  <c r="J15" i="9"/>
  <c r="A16" i="9"/>
  <c r="B16" i="9"/>
  <c r="C16" i="9"/>
  <c r="D16" i="9"/>
  <c r="D16" i="13" s="1"/>
  <c r="J16" i="9"/>
  <c r="A17" i="9"/>
  <c r="B17" i="9"/>
  <c r="C17" i="9"/>
  <c r="D17" i="9"/>
  <c r="D17" i="13" s="1"/>
  <c r="J17" i="9"/>
  <c r="A18" i="9"/>
  <c r="B18" i="9"/>
  <c r="C18" i="9"/>
  <c r="D18" i="9"/>
  <c r="D18" i="13" s="1"/>
  <c r="J18" i="9"/>
  <c r="A19" i="9"/>
  <c r="B19" i="9"/>
  <c r="C19" i="9"/>
  <c r="D19" i="9"/>
  <c r="D19" i="13" s="1"/>
  <c r="J19" i="9"/>
  <c r="A20" i="9"/>
  <c r="B20" i="9"/>
  <c r="C20" i="9"/>
  <c r="D20" i="9"/>
  <c r="D20" i="13" s="1"/>
  <c r="J20" i="9"/>
  <c r="A21" i="9"/>
  <c r="B21" i="9"/>
  <c r="C21" i="9"/>
  <c r="D21" i="9"/>
  <c r="D21" i="13" s="1"/>
  <c r="J21" i="9"/>
  <c r="A22" i="9"/>
  <c r="B22" i="9"/>
  <c r="C22" i="9"/>
  <c r="D22" i="9"/>
  <c r="D22" i="13" s="1"/>
  <c r="J22" i="9"/>
  <c r="A23" i="9"/>
  <c r="B23" i="9"/>
  <c r="C23" i="9"/>
  <c r="D23" i="9"/>
  <c r="D23" i="13" s="1"/>
  <c r="J23" i="9"/>
  <c r="A24" i="9"/>
  <c r="B24" i="9"/>
  <c r="C24" i="9"/>
  <c r="D24" i="9"/>
  <c r="D24" i="13" s="1"/>
  <c r="J24" i="9"/>
  <c r="A25" i="9"/>
  <c r="B25" i="9"/>
  <c r="C25" i="9"/>
  <c r="D25" i="9"/>
  <c r="D25" i="13" s="1"/>
  <c r="J25" i="9"/>
  <c r="A26" i="9"/>
  <c r="B26" i="9"/>
  <c r="C26" i="9"/>
  <c r="D26" i="9"/>
  <c r="D26" i="13" s="1"/>
  <c r="J26" i="9"/>
  <c r="A27" i="9"/>
  <c r="B27" i="9"/>
  <c r="C27" i="9"/>
  <c r="D27" i="9"/>
  <c r="D27" i="13" s="1"/>
  <c r="J27" i="9"/>
  <c r="A28" i="9"/>
  <c r="B28" i="9"/>
  <c r="C28" i="9"/>
  <c r="D28" i="9"/>
  <c r="D28" i="13" s="1"/>
  <c r="J28" i="9"/>
  <c r="A29" i="9"/>
  <c r="B29" i="9"/>
  <c r="C29" i="9"/>
  <c r="D29" i="9"/>
  <c r="D29" i="13" s="1"/>
  <c r="J29" i="9"/>
  <c r="A30" i="9"/>
  <c r="B30" i="9"/>
  <c r="C30" i="9"/>
  <c r="D30" i="9"/>
  <c r="D30" i="13" s="1"/>
  <c r="J30" i="9"/>
  <c r="A31" i="9"/>
  <c r="B31" i="9"/>
  <c r="C31" i="9"/>
  <c r="D31" i="9"/>
  <c r="D31" i="13" s="1"/>
  <c r="J31" i="9"/>
  <c r="A32" i="9"/>
  <c r="B32" i="9"/>
  <c r="C32" i="9"/>
  <c r="D32" i="9"/>
  <c r="D32" i="13" s="1"/>
  <c r="J32" i="9"/>
  <c r="A33" i="9"/>
  <c r="B33" i="9"/>
  <c r="C33" i="9"/>
  <c r="D33" i="9"/>
  <c r="D33" i="13" s="1"/>
  <c r="J33" i="9"/>
  <c r="A34" i="9"/>
  <c r="B34" i="9"/>
  <c r="C34" i="9"/>
  <c r="D34" i="9"/>
  <c r="D34" i="13" s="1"/>
  <c r="J34" i="9"/>
  <c r="A35" i="9"/>
  <c r="B35" i="9"/>
  <c r="C35" i="9"/>
  <c r="D35" i="9"/>
  <c r="D35" i="13" s="1"/>
  <c r="J35" i="9"/>
  <c r="A36" i="9"/>
  <c r="B36" i="9"/>
  <c r="C36" i="9"/>
  <c r="D36" i="9"/>
  <c r="D36" i="13" s="1"/>
  <c r="J36" i="9"/>
  <c r="C34" i="13" l="1"/>
  <c r="C30" i="13"/>
  <c r="C18" i="13"/>
  <c r="C14" i="13"/>
  <c r="C6" i="13"/>
  <c r="C29" i="13"/>
  <c r="C21" i="13"/>
  <c r="C13" i="13"/>
  <c r="C5" i="13"/>
  <c r="C36" i="13"/>
  <c r="C28" i="13"/>
  <c r="C16" i="13"/>
  <c r="C12" i="13"/>
  <c r="C8" i="13"/>
  <c r="C4" i="13"/>
  <c r="C26" i="13"/>
  <c r="C22" i="13"/>
  <c r="C10" i="13"/>
  <c r="C33" i="13"/>
  <c r="C25" i="13"/>
  <c r="C17" i="13"/>
  <c r="C9" i="13"/>
  <c r="C32" i="13"/>
  <c r="C24" i="13"/>
  <c r="C20" i="13"/>
  <c r="C35" i="13"/>
  <c r="C31" i="13"/>
  <c r="C27" i="13"/>
  <c r="C23" i="13"/>
  <c r="C19" i="13"/>
  <c r="C15" i="13"/>
  <c r="C11" i="13"/>
  <c r="C7" i="13"/>
  <c r="C3" i="13"/>
  <c r="A36" i="13"/>
  <c r="E36" i="13"/>
  <c r="A34" i="13"/>
  <c r="E34" i="13"/>
  <c r="A30" i="13"/>
  <c r="E30" i="13"/>
  <c r="A35" i="13"/>
  <c r="E35" i="13"/>
  <c r="A33" i="13"/>
  <c r="E33" i="13"/>
  <c r="A31" i="13"/>
  <c r="E31" i="13"/>
  <c r="A29" i="13"/>
  <c r="E29" i="13"/>
  <c r="A27" i="13"/>
  <c r="E27" i="13"/>
  <c r="A25" i="13"/>
  <c r="E25" i="13"/>
  <c r="A23" i="13"/>
  <c r="E23" i="13"/>
  <c r="A21" i="13"/>
  <c r="E21" i="13"/>
  <c r="A19" i="13"/>
  <c r="E19" i="13"/>
  <c r="A17" i="13"/>
  <c r="E17" i="13"/>
  <c r="A15" i="13"/>
  <c r="E15" i="13"/>
  <c r="A13" i="13"/>
  <c r="E13" i="13"/>
  <c r="A11" i="13"/>
  <c r="E11" i="13"/>
  <c r="A9" i="13"/>
  <c r="E9" i="13"/>
  <c r="A7" i="13"/>
  <c r="E7" i="13"/>
  <c r="A5" i="13"/>
  <c r="E5" i="13"/>
  <c r="A3" i="13"/>
  <c r="E3" i="13"/>
  <c r="A32" i="13"/>
  <c r="E32" i="13"/>
  <c r="A28" i="13"/>
  <c r="E28" i="13"/>
  <c r="A26" i="13"/>
  <c r="E26" i="13"/>
  <c r="A24" i="13"/>
  <c r="E24" i="13"/>
  <c r="A22" i="13"/>
  <c r="E22" i="13"/>
  <c r="A20" i="13"/>
  <c r="E20" i="13"/>
  <c r="A18" i="13"/>
  <c r="E18" i="13"/>
  <c r="A16" i="13"/>
  <c r="E16" i="13"/>
  <c r="A14" i="13"/>
  <c r="E14" i="13"/>
  <c r="A12" i="13"/>
  <c r="E12" i="13"/>
  <c r="A10" i="13"/>
  <c r="E10" i="13"/>
  <c r="A8" i="13"/>
  <c r="E8" i="13"/>
  <c r="A6" i="13"/>
  <c r="E6" i="13"/>
  <c r="A4" i="13"/>
  <c r="E4" i="13"/>
  <c r="J2" i="9"/>
  <c r="A1" i="12"/>
  <c r="C6" i="12"/>
  <c r="D6" i="12"/>
  <c r="E6" i="12"/>
  <c r="B6" i="12"/>
  <c r="A3" i="12"/>
  <c r="F2" i="10"/>
  <c r="A2" i="10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35" i="9"/>
  <c r="Q36" i="9"/>
  <c r="Q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35" i="9"/>
  <c r="M36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35" i="9"/>
  <c r="P36" i="9"/>
  <c r="P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35" i="9"/>
  <c r="N36" i="9"/>
  <c r="O36" i="9"/>
  <c r="N2" i="9"/>
  <c r="M2" i="9"/>
  <c r="A1" i="10" l="1"/>
  <c r="B4" i="10"/>
  <c r="J4" i="10" l="1"/>
  <c r="I4" i="10"/>
  <c r="H4" i="10"/>
  <c r="G4" i="10"/>
  <c r="F4" i="10"/>
  <c r="E4" i="10"/>
  <c r="D4" i="10"/>
  <c r="C4" i="10"/>
  <c r="D2" i="9"/>
  <c r="D2" i="13" s="1"/>
  <c r="C2" i="9"/>
  <c r="B2" i="9"/>
  <c r="A2" i="9"/>
  <c r="L4" i="10" l="1"/>
  <c r="K4" i="10" s="1"/>
  <c r="M4" i="10"/>
  <c r="C2" i="13"/>
  <c r="A2" i="13"/>
  <c r="E2" i="13"/>
  <c r="A1" i="8"/>
  <c r="B5" i="8" l="1"/>
  <c r="B7" i="8"/>
  <c r="B9" i="8"/>
  <c r="B11" i="8"/>
  <c r="B13" i="8"/>
  <c r="B4" i="8"/>
  <c r="B6" i="8"/>
  <c r="B8" i="8"/>
  <c r="B10" i="8"/>
  <c r="B12" i="8"/>
  <c r="B3" i="8"/>
  <c r="F39" i="9"/>
  <c r="F38" i="9" a="1"/>
  <c r="F38" i="9" s="1"/>
  <c r="O12" i="9" s="1"/>
  <c r="K39" i="10" l="1"/>
  <c r="O3" i="9"/>
  <c r="O5" i="9"/>
  <c r="O7" i="9"/>
  <c r="O9" i="9"/>
  <c r="O11" i="9"/>
  <c r="O13" i="9"/>
  <c r="O15" i="9"/>
  <c r="O17" i="9"/>
  <c r="O19" i="9"/>
  <c r="O21" i="9"/>
  <c r="O23" i="9"/>
  <c r="O35" i="9"/>
  <c r="O2" i="9"/>
  <c r="O4" i="9"/>
  <c r="O6" i="9"/>
  <c r="O8" i="9"/>
  <c r="O10" i="9"/>
  <c r="O14" i="9"/>
  <c r="O16" i="9"/>
  <c r="O18" i="9"/>
  <c r="O20" i="9"/>
  <c r="O22" i="9"/>
  <c r="O24" i="9"/>
  <c r="D1" i="8"/>
</calcChain>
</file>

<file path=xl/sharedStrings.xml><?xml version="1.0" encoding="utf-8"?>
<sst xmlns="http://schemas.openxmlformats.org/spreadsheetml/2006/main" count="116" uniqueCount="73">
  <si>
    <t>Name</t>
  </si>
  <si>
    <t xml:space="preserve"> Vorname</t>
  </si>
  <si>
    <t xml:space="preserve"> Hochschule</t>
  </si>
  <si>
    <t xml:space="preserve"> Gesamtbewertung in %</t>
  </si>
  <si>
    <t>Note</t>
  </si>
  <si>
    <t>Level</t>
  </si>
  <si>
    <t>ECTS</t>
  </si>
  <si>
    <t>Name Dozent</t>
  </si>
  <si>
    <t>Kursname</t>
  </si>
  <si>
    <t>Schnitt</t>
  </si>
  <si>
    <t>Gesamtpunktzahl</t>
  </si>
  <si>
    <t>Standardabweichung</t>
  </si>
  <si>
    <t>Anzahl</t>
  </si>
  <si>
    <t>Schnitt:</t>
  </si>
  <si>
    <t>Name Dozent:</t>
  </si>
  <si>
    <t>Level:</t>
  </si>
  <si>
    <t>ECTS:</t>
  </si>
  <si>
    <t>Kursname:</t>
  </si>
  <si>
    <t>Nachname</t>
  </si>
  <si>
    <t>Vorname</t>
  </si>
  <si>
    <t>E-Mail</t>
  </si>
  <si>
    <t>Telefon</t>
  </si>
  <si>
    <t>Fakultät</t>
  </si>
  <si>
    <t>Semester</t>
  </si>
  <si>
    <t>Prozent</t>
  </si>
  <si>
    <t>Durchschnittt</t>
  </si>
  <si>
    <t>Nr.</t>
  </si>
  <si>
    <t>Matrikelnummer</t>
  </si>
  <si>
    <t>Hochschule</t>
  </si>
  <si>
    <t>Matrikel
nummer</t>
  </si>
  <si>
    <t>NB</t>
  </si>
  <si>
    <t>Semester:</t>
  </si>
  <si>
    <r>
      <t xml:space="preserve">In die </t>
    </r>
    <r>
      <rPr>
        <sz val="10"/>
        <color theme="6" tint="-0.249977111117893"/>
        <rFont val="Arial"/>
        <family val="2"/>
      </rPr>
      <t>grünen</t>
    </r>
    <r>
      <rPr>
        <sz val="10"/>
        <rFont val="Arial"/>
        <family val="2"/>
      </rPr>
      <t xml:space="preserve"> Felder bitte die Gesamtpunktzahl eingeben.
In die </t>
    </r>
    <r>
      <rPr>
        <sz val="10"/>
        <color theme="9" tint="-0.249977111117893"/>
        <rFont val="Arial"/>
        <family val="2"/>
      </rPr>
      <t>orangenen</t>
    </r>
    <r>
      <rPr>
        <sz val="10"/>
        <rFont val="Arial"/>
        <family val="2"/>
      </rPr>
      <t xml:space="preserve"> Felder bitte mit einem 'X' markieren.
</t>
    </r>
    <r>
      <rPr>
        <sz val="10"/>
        <color rgb="FFCCCC00"/>
        <rFont val="Arial"/>
        <family val="2"/>
      </rPr>
      <t>Gelbe</t>
    </r>
    <r>
      <rPr>
        <sz val="10"/>
        <rFont val="Arial"/>
        <family val="2"/>
      </rPr>
      <t xml:space="preserve"> Felder, wenn nötig korrigieren.
Sollten Änderungen an Namen oder Matrikelnummer notwendig sein sind diese in Blatt "RAWDATA" zu machen.</t>
    </r>
  </si>
  <si>
    <t>Hoch-schule</t>
  </si>
  <si>
    <t>Prüfungs-schein</t>
  </si>
  <si>
    <t>Prüfungs-
schein</t>
  </si>
  <si>
    <t>Anwesenheitsliste</t>
  </si>
  <si>
    <t>Schreibt
Prüfung</t>
  </si>
  <si>
    <t>Datum:_________________________                Unterschrift:_______________________________________</t>
  </si>
  <si>
    <t>Kursname-Zusatz</t>
  </si>
  <si>
    <t>Prüfungsdatum</t>
  </si>
  <si>
    <t>Status</t>
  </si>
  <si>
    <t>LP</t>
  </si>
  <si>
    <t>Datum</t>
  </si>
  <si>
    <t>Individueller Titel deutsch</t>
  </si>
  <si>
    <t>Individueller Titel englisch</t>
  </si>
  <si>
    <t>Anmerkungen</t>
  </si>
  <si>
    <t>Kurs Englisch</t>
  </si>
  <si>
    <t>Arabisch 1</t>
  </si>
  <si>
    <t>applicant.last_name</t>
  </si>
  <si>
    <t>applicant.first_name</t>
  </si>
  <si>
    <t>applicant.origin.short_name</t>
  </si>
  <si>
    <t>applicant.tag</t>
  </si>
  <si>
    <t>applicant.mail</t>
  </si>
  <si>
    <t>applicant.phone</t>
  </si>
  <si>
    <t>course.ger</t>
  </si>
  <si>
    <t>semester</t>
  </si>
  <si>
    <t>course.ects_points</t>
  </si>
  <si>
    <t>exam_date</t>
  </si>
  <si>
    <t>course.name</t>
  </si>
  <si>
    <t>course.name_english</t>
  </si>
  <si>
    <t>course.alternative</t>
  </si>
  <si>
    <t>course.teacher_name</t>
  </si>
  <si>
    <t>attendance.sanitized_grade</t>
  </si>
  <si>
    <t>attendance.ects_points</t>
  </si>
  <si>
    <t>Teilnahmeschein</t>
  </si>
  <si>
    <t>Schein erhalten</t>
  </si>
  <si>
    <t>attendance.ts_requested_str</t>
  </si>
  <si>
    <t>attendance.ts_received_str</t>
  </si>
  <si>
    <t>bestanden</t>
  </si>
  <si>
    <t>attendance.hide_grade_str</t>
  </si>
  <si>
    <t>bestanden statt Note</t>
  </si>
  <si>
    <t>Leistungs-punkte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</si>
</sst>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6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rgb="FFCCCC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2" borderId="0" xfId="1" applyFill="1"/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0" fontId="1" fillId="2" borderId="0" xfId="1" applyFill="1" applyAlignment="1">
      <alignment horizontal="center" vertical="center" wrapText="1"/>
    </xf>
    <xf numFmtId="0" fontId="1" fillId="3" borderId="0" xfId="1" applyFill="1" applyProtection="1">
      <protection locked="0"/>
    </xf>
    <xf numFmtId="16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textRotation="90" wrapText="1"/>
    </xf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0" xfId="1" applyFill="1" applyAlignment="1">
      <alignment horizontal="center" vertical="center" wrapText="1"/>
    </xf>
    <xf numFmtId="0" fontId="1" fillId="5" borderId="0" xfId="1" applyFill="1" applyAlignment="1">
      <alignment horizontal="center" vertical="center"/>
    </xf>
    <xf numFmtId="0" fontId="1" fillId="2" borderId="1" xfId="1" applyFill="1" applyBorder="1" applyAlignment="1">
      <alignment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5" borderId="0" xfId="1" applyFill="1" applyAlignment="1">
      <alignment horizontal="left" vertical="top"/>
    </xf>
    <xf numFmtId="0" fontId="1" fillId="0" borderId="1" xfId="1" applyBorder="1" applyAlignment="1">
      <alignment horizontal="center" vertical="center"/>
    </xf>
    <xf numFmtId="0" fontId="1" fillId="6" borderId="1" xfId="1" applyFill="1" applyBorder="1" applyAlignment="1" applyProtection="1">
      <alignment horizontal="center" vertical="center" wrapText="1"/>
      <protection locked="0"/>
    </xf>
    <xf numFmtId="0" fontId="1" fillId="3" borderId="0" xfId="1" applyFill="1" applyAlignment="1" applyProtection="1">
      <alignment horizontal="left" vertical="center"/>
      <protection locked="0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right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1" fillId="2" borderId="1" xfId="1" applyFill="1" applyBorder="1" applyAlignment="1">
      <alignment horizontal="center" textRotation="90" wrapText="1"/>
    </xf>
    <xf numFmtId="0" fontId="3" fillId="5" borderId="0" xfId="0" applyFont="1" applyFill="1" applyAlignment="1">
      <alignment horizontal="left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1" applyProtection="1">
      <protection locked="0"/>
    </xf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vertical="center"/>
    </xf>
    <xf numFmtId="14" fontId="1" fillId="3" borderId="0" xfId="1" applyNumberFormat="1" applyFill="1" applyAlignment="1" applyProtection="1">
      <alignment horizontal="left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 vertical="center"/>
    </xf>
    <xf numFmtId="14" fontId="0" fillId="0" borderId="0" xfId="0" applyNumberFormat="1"/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 applyProtection="1">
      <alignment horizontal="right" vertical="center"/>
      <protection locked="0"/>
    </xf>
    <xf numFmtId="14" fontId="0" fillId="0" borderId="0" xfId="0" applyNumberFormat="1" applyProtection="1">
      <protection locked="0"/>
    </xf>
    <xf numFmtId="0" fontId="0" fillId="4" borderId="0" xfId="0" applyFill="1" applyAlignment="1" applyProtection="1">
      <alignment wrapText="1"/>
      <protection locked="0"/>
    </xf>
    <xf numFmtId="0" fontId="1" fillId="5" borderId="0" xfId="1" applyFill="1" applyAlignment="1">
      <alignment horizontal="left" vertical="top" wrapText="1"/>
    </xf>
    <xf numFmtId="0" fontId="1" fillId="5" borderId="0" xfId="1" applyFill="1" applyAlignment="1">
      <alignment horizontal="left" vertical="top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top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3" xfId="0" applyFill="1" applyBorder="1" applyAlignment="1">
      <alignment horizontal="center" textRotation="90" wrapText="1"/>
    </xf>
    <xf numFmtId="0" fontId="0" fillId="4" borderId="8" xfId="0" applyFill="1" applyBorder="1" applyAlignment="1">
      <alignment horizontal="center" textRotation="90" wrapText="1"/>
    </xf>
    <xf numFmtId="0" fontId="2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</cellXfs>
  <cellStyles count="2">
    <cellStyle name="Standard" xfId="0" builtinId="0"/>
    <cellStyle name="Standard 2" xfId="1"/>
  </cellStyles>
  <dxfs count="24"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19" formatCode="dd/mm/yyyy"/>
      <protection locked="0" hidden="0"/>
    </dxf>
    <dxf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  <protection locked="0" hidden="0"/>
    </dxf>
    <dxf>
      <numFmt numFmtId="0" formatCode="General"/>
      <protection locked="0" hidden="0"/>
    </dxf>
    <dxf>
      <protection locked="0" hidden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 sz="1100" b="0"/>
              <a:t>Notenverteilung</a:t>
            </a:r>
            <a:endParaRPr lang="de-DE" b="0"/>
          </a:p>
        </c:rich>
      </c:tx>
      <c:layout/>
      <c:overlay val="0"/>
      <c:spPr>
        <a:noFill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Notenverteilung!$A$3:$A$13</c:f>
              <c:strCache>
                <c:ptCount val="11"/>
                <c:pt idx="0">
                  <c:v>1</c:v>
                </c:pt>
                <c:pt idx="1">
                  <c:v>1,3</c:v>
                </c:pt>
                <c:pt idx="2">
                  <c:v>1,7</c:v>
                </c:pt>
                <c:pt idx="3">
                  <c:v>2</c:v>
                </c:pt>
                <c:pt idx="4">
                  <c:v>2,3</c:v>
                </c:pt>
                <c:pt idx="5">
                  <c:v>2,7</c:v>
                </c:pt>
                <c:pt idx="6">
                  <c:v>3</c:v>
                </c:pt>
                <c:pt idx="7">
                  <c:v>3,3</c:v>
                </c:pt>
                <c:pt idx="8">
                  <c:v>3,7</c:v>
                </c:pt>
                <c:pt idx="9">
                  <c:v>4</c:v>
                </c:pt>
                <c:pt idx="10">
                  <c:v>NB</c:v>
                </c:pt>
              </c:strCache>
            </c:strRef>
          </c:cat>
          <c:val>
            <c:numRef>
              <c:f>Notenverteilung!$B$3:$B$13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3-4968-AF23-3FFFF08A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36645200"/>
        <c:axId val="336646880"/>
        <c:axId val="0"/>
      </c:bar3DChart>
      <c:catAx>
        <c:axId val="33664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6646880"/>
        <c:crosses val="autoZero"/>
        <c:auto val="1"/>
        <c:lblAlgn val="ctr"/>
        <c:lblOffset val="100"/>
        <c:noMultiLvlLbl val="0"/>
      </c:catAx>
      <c:valAx>
        <c:axId val="33664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645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8</xdr:col>
      <xdr:colOff>0</xdr:colOff>
      <xdr:row>13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DATA" displayName="DATA" ref="B1:L2" totalsRowShown="0" headerRowDxfId="23" dataDxfId="22">
  <autoFilter ref="B1:L2"/>
  <tableColumns count="11">
    <tableColumn id="1" name="Nachname" dataDxfId="21"/>
    <tableColumn id="2" name="Vorname" dataDxfId="20"/>
    <tableColumn id="3" name="Hochschule" dataDxfId="19"/>
    <tableColumn id="4" name="Matrikelnummer" dataDxfId="18"/>
    <tableColumn id="8" name="Note" dataDxfId="17"/>
    <tableColumn id="7" name="LP" dataDxfId="16"/>
    <tableColumn id="5" name="E-Mail" dataDxfId="15"/>
    <tableColumn id="9" name="Telefon" dataDxfId="14"/>
    <tableColumn id="11" name="bestanden" dataDxfId="13"/>
    <tableColumn id="10" name="Teilnahmeschein" dataDxfId="12"/>
    <tableColumn id="6" name="Schein erhalten" dataDxfId="11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1" name="Tabelle1" displayName="Tabelle1" ref="A1:H36" totalsRowShown="0" dataDxfId="10">
  <autoFilter ref="A1:H36"/>
  <tableColumns count="8">
    <tableColumn id="1" name="Matrikelnummer" dataDxfId="9" totalsRowDxfId="8">
      <calculatedColumnFormula>IF(Notenliste!D2=0," ",Notenliste!D2)</calculatedColumnFormula>
    </tableColumn>
    <tableColumn id="2" name="Status" dataDxfId="7"/>
    <tableColumn id="3" name="LP" dataDxfId="6">
      <calculatedColumnFormula>IF(Notenliste!D2&lt;&gt;0,IF(Notenliste!I2&lt;&gt;0,Notenliste!I2,Notenliste!$B$33)," ")</calculatedColumnFormula>
    </tableColumn>
    <tableColumn id="4" name="Note" dataDxfId="5" totalsRowDxfId="4">
      <calculatedColumnFormula>IF(Notenliste!D2=0," ",IF(Notenliste!F2="KP"," ",IF(Notenliste!F2="NB","nicht bestanden",IF(OR(Notenliste!H2="x", Notenliste!H2="X"),"bestanden",Notenliste!F2))))</calculatedColumnFormula>
    </tableColumn>
    <tableColumn id="5" name="Datum" dataDxfId="3">
      <calculatedColumnFormula>IF(Notenliste!D2&lt;&gt;0,Notenliste!$B$48," ")</calculatedColumnFormula>
    </tableColumn>
    <tableColumn id="6" name="Individueller Titel deutsch" dataDxfId="2"/>
    <tableColumn id="7" name="Individueller Titel englisch" dataDxfId="1"/>
    <tableColumn id="8" name="Anmerkun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6"/>
  <sheetViews>
    <sheetView topLeftCell="D1" workbookViewId="0">
      <selection activeCell="J2" sqref="J2"/>
    </sheetView>
  </sheetViews>
  <sheetFormatPr baseColWidth="10" defaultColWidth="0" defaultRowHeight="15" zeroHeight="1" x14ac:dyDescent="0.25"/>
  <cols>
    <col min="1" max="1" width="3.7109375" style="37" bestFit="1" customWidth="1"/>
    <col min="2" max="2" width="28.42578125" style="37" customWidth="1"/>
    <col min="3" max="3" width="26.140625" style="37" customWidth="1"/>
    <col min="4" max="4" width="13.140625" style="37" customWidth="1"/>
    <col min="5" max="5" width="17.85546875" style="38" customWidth="1"/>
    <col min="6" max="7" width="9" style="38" customWidth="1"/>
    <col min="8" max="8" width="31.85546875" style="37" bestFit="1" customWidth="1"/>
    <col min="9" max="9" width="31.85546875" style="37" customWidth="1"/>
    <col min="10" max="10" width="11.28515625" style="37" customWidth="1"/>
    <col min="11" max="11" width="21.28515625" style="37" customWidth="1"/>
    <col min="12" max="12" width="22.42578125" style="37" customWidth="1"/>
    <col min="13" max="13" width="45.140625" style="37" hidden="1" customWidth="1"/>
    <col min="14" max="14" width="9.42578125" style="37" hidden="1" customWidth="1"/>
    <col min="15" max="16384" width="11.42578125" hidden="1"/>
  </cols>
  <sheetData>
    <row r="1" spans="1:14" x14ac:dyDescent="0.25">
      <c r="A1" s="35" t="s">
        <v>26</v>
      </c>
      <c r="B1" s="35" t="s">
        <v>18</v>
      </c>
      <c r="C1" s="35" t="s">
        <v>19</v>
      </c>
      <c r="D1" s="35" t="s">
        <v>28</v>
      </c>
      <c r="E1" s="36" t="s">
        <v>27</v>
      </c>
      <c r="F1" s="36" t="s">
        <v>4</v>
      </c>
      <c r="G1" s="36" t="s">
        <v>42</v>
      </c>
      <c r="H1" s="35" t="s">
        <v>20</v>
      </c>
      <c r="I1" s="35" t="s">
        <v>21</v>
      </c>
      <c r="J1" s="35" t="s">
        <v>69</v>
      </c>
      <c r="K1" s="35" t="s">
        <v>65</v>
      </c>
      <c r="L1" s="64" t="s">
        <v>66</v>
      </c>
      <c r="M1" s="35" t="s">
        <v>22</v>
      </c>
      <c r="N1" s="35" t="s">
        <v>23</v>
      </c>
    </row>
    <row r="2" spans="1:14" x14ac:dyDescent="0.25">
      <c r="A2">
        <v>1</v>
      </c>
      <c r="B2" s="37" t="s">
        <v>49</v>
      </c>
      <c r="C2" s="37" t="s">
        <v>50</v>
      </c>
      <c r="D2" s="37" t="s">
        <v>51</v>
      </c>
      <c r="E2" s="37" t="s">
        <v>52</v>
      </c>
      <c r="F2" s="37" t="s">
        <v>63</v>
      </c>
      <c r="G2" s="37" t="s">
        <v>64</v>
      </c>
      <c r="H2" s="37" t="s">
        <v>53</v>
      </c>
      <c r="I2" s="37" t="s">
        <v>54</v>
      </c>
      <c r="J2" s="37" t="s">
        <v>70</v>
      </c>
      <c r="K2" s="37" t="s">
        <v>67</v>
      </c>
      <c r="L2" s="37" t="s">
        <v>68</v>
      </c>
      <c r="M2" s="37" t="s">
        <v>48</v>
      </c>
    </row>
    <row r="3" spans="1:14" x14ac:dyDescent="0.25">
      <c r="A3">
        <v>2</v>
      </c>
      <c r="E3" s="37"/>
      <c r="F3" s="37"/>
      <c r="G3" s="37"/>
      <c r="M3" s="37" t="s">
        <v>48</v>
      </c>
    </row>
    <row r="4" spans="1:14" x14ac:dyDescent="0.25">
      <c r="A4">
        <v>3</v>
      </c>
      <c r="E4" s="37"/>
      <c r="F4" s="37"/>
      <c r="G4" s="37"/>
      <c r="M4" s="37" t="s">
        <v>48</v>
      </c>
    </row>
    <row r="5" spans="1:14" x14ac:dyDescent="0.25">
      <c r="A5">
        <v>4</v>
      </c>
      <c r="E5" s="37"/>
      <c r="F5" s="37"/>
      <c r="G5" s="37"/>
      <c r="M5" s="37" t="s">
        <v>48</v>
      </c>
    </row>
    <row r="6" spans="1:14" x14ac:dyDescent="0.25">
      <c r="A6">
        <v>5</v>
      </c>
      <c r="E6" s="37"/>
      <c r="F6" s="37"/>
      <c r="G6" s="37"/>
      <c r="M6" s="37" t="s">
        <v>48</v>
      </c>
    </row>
    <row r="7" spans="1:14" x14ac:dyDescent="0.25">
      <c r="A7">
        <v>6</v>
      </c>
      <c r="E7" s="37"/>
      <c r="F7" s="37"/>
      <c r="G7" s="37"/>
      <c r="M7" s="37" t="s">
        <v>48</v>
      </c>
    </row>
    <row r="8" spans="1:14" x14ac:dyDescent="0.25">
      <c r="A8">
        <v>7</v>
      </c>
      <c r="E8" s="37"/>
      <c r="F8" s="37"/>
      <c r="G8" s="37"/>
      <c r="M8" s="37" t="s">
        <v>48</v>
      </c>
    </row>
    <row r="9" spans="1:14" x14ac:dyDescent="0.25">
      <c r="A9">
        <v>8</v>
      </c>
      <c r="E9" s="37"/>
      <c r="F9" s="37"/>
      <c r="G9" s="37"/>
      <c r="M9" s="37" t="s">
        <v>48</v>
      </c>
    </row>
    <row r="10" spans="1:14" x14ac:dyDescent="0.25">
      <c r="A10">
        <v>9</v>
      </c>
      <c r="E10" s="37"/>
      <c r="F10" s="37"/>
      <c r="G10" s="37"/>
      <c r="M10" s="37" t="s">
        <v>48</v>
      </c>
    </row>
    <row r="11" spans="1:14" x14ac:dyDescent="0.25">
      <c r="A11">
        <v>10</v>
      </c>
      <c r="E11" s="37"/>
      <c r="F11" s="37"/>
      <c r="G11" s="37"/>
      <c r="M11" s="37" t="s">
        <v>48</v>
      </c>
    </row>
    <row r="12" spans="1:14" x14ac:dyDescent="0.25">
      <c r="A12">
        <v>11</v>
      </c>
      <c r="E12" s="37"/>
      <c r="F12" s="37"/>
      <c r="G12" s="37"/>
      <c r="M12" s="37" t="s">
        <v>48</v>
      </c>
    </row>
    <row r="13" spans="1:14" x14ac:dyDescent="0.25">
      <c r="A13">
        <v>12</v>
      </c>
      <c r="E13" s="37"/>
      <c r="F13" s="37"/>
      <c r="G13" s="37"/>
      <c r="M13" s="37" t="s">
        <v>48</v>
      </c>
    </row>
    <row r="14" spans="1:14" x14ac:dyDescent="0.25">
      <c r="A14">
        <v>13</v>
      </c>
      <c r="E14" s="37"/>
      <c r="F14" s="37"/>
      <c r="G14" s="37"/>
      <c r="M14" s="37" t="s">
        <v>48</v>
      </c>
    </row>
    <row r="15" spans="1:14" x14ac:dyDescent="0.25">
      <c r="A15">
        <v>14</v>
      </c>
      <c r="E15" s="37"/>
      <c r="F15" s="37"/>
      <c r="G15" s="37"/>
      <c r="M15" s="37" t="s">
        <v>48</v>
      </c>
    </row>
    <row r="16" spans="1:14" x14ac:dyDescent="0.25">
      <c r="A16">
        <v>15</v>
      </c>
      <c r="E16" s="37"/>
      <c r="F16" s="37"/>
      <c r="G16" s="37"/>
      <c r="M16" s="37" t="s">
        <v>48</v>
      </c>
    </row>
    <row r="17" spans="1:13" x14ac:dyDescent="0.25">
      <c r="A17">
        <v>16</v>
      </c>
      <c r="E17" s="37"/>
      <c r="F17" s="37"/>
      <c r="G17" s="37"/>
      <c r="M17" s="37" t="s">
        <v>48</v>
      </c>
    </row>
    <row r="18" spans="1:13" x14ac:dyDescent="0.25">
      <c r="A18">
        <v>17</v>
      </c>
      <c r="E18" s="37"/>
      <c r="F18" s="37"/>
      <c r="G18" s="37"/>
      <c r="M18" s="37" t="s">
        <v>48</v>
      </c>
    </row>
    <row r="19" spans="1:13" x14ac:dyDescent="0.25">
      <c r="A19">
        <v>18</v>
      </c>
      <c r="E19" s="37"/>
      <c r="F19" s="37"/>
      <c r="G19" s="37"/>
      <c r="M19" s="37" t="s">
        <v>48</v>
      </c>
    </row>
    <row r="20" spans="1:13" x14ac:dyDescent="0.25">
      <c r="A20">
        <v>19</v>
      </c>
      <c r="E20" s="37"/>
      <c r="F20" s="37"/>
      <c r="G20" s="37"/>
      <c r="M20" s="37" t="s">
        <v>48</v>
      </c>
    </row>
    <row r="21" spans="1:13" x14ac:dyDescent="0.25">
      <c r="A21">
        <v>20</v>
      </c>
      <c r="E21" s="37"/>
      <c r="F21" s="37"/>
      <c r="G21" s="37"/>
      <c r="M21" s="37" t="s">
        <v>48</v>
      </c>
    </row>
    <row r="22" spans="1:13" x14ac:dyDescent="0.25">
      <c r="A22">
        <v>21</v>
      </c>
      <c r="E22" s="37"/>
      <c r="F22" s="37"/>
      <c r="G22" s="37"/>
      <c r="M22" s="37" t="s">
        <v>48</v>
      </c>
    </row>
    <row r="23" spans="1:13" x14ac:dyDescent="0.25">
      <c r="A23">
        <v>22</v>
      </c>
      <c r="E23" s="37"/>
      <c r="F23" s="37"/>
      <c r="G23" s="37"/>
      <c r="M23" s="37" t="s">
        <v>48</v>
      </c>
    </row>
    <row r="24" spans="1:13" x14ac:dyDescent="0.25">
      <c r="A24">
        <v>23</v>
      </c>
      <c r="E24" s="37"/>
      <c r="F24" s="37"/>
      <c r="G24" s="37"/>
      <c r="M24" s="37" t="s">
        <v>48</v>
      </c>
    </row>
    <row r="25" spans="1:13" x14ac:dyDescent="0.25">
      <c r="A25">
        <v>24</v>
      </c>
    </row>
    <row r="26" spans="1:13" x14ac:dyDescent="0.25">
      <c r="A26">
        <v>25</v>
      </c>
    </row>
    <row r="27" spans="1:13" x14ac:dyDescent="0.25">
      <c r="A27">
        <v>26</v>
      </c>
    </row>
    <row r="28" spans="1:13" x14ac:dyDescent="0.25">
      <c r="A28">
        <v>27</v>
      </c>
    </row>
    <row r="29" spans="1:13" x14ac:dyDescent="0.25">
      <c r="A29">
        <v>28</v>
      </c>
    </row>
    <row r="30" spans="1:13" x14ac:dyDescent="0.25">
      <c r="A30">
        <v>29</v>
      </c>
    </row>
    <row r="31" spans="1:13" x14ac:dyDescent="0.25">
      <c r="A31">
        <v>30</v>
      </c>
    </row>
    <row r="32" spans="1:13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</sheetData>
  <sheetProtection sheet="1" formatColumns="0" selectLockedCells="1"/>
  <phoneticPr fontId="7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WVY71"/>
  <sheetViews>
    <sheetView showZeros="0" tabSelected="1" workbookViewId="0">
      <selection activeCell="E2" sqref="E2"/>
    </sheetView>
  </sheetViews>
  <sheetFormatPr baseColWidth="10" defaultColWidth="0" defaultRowHeight="12.75" zeroHeight="1" x14ac:dyDescent="0.2"/>
  <cols>
    <col min="1" max="1" width="23.7109375" style="1" customWidth="1"/>
    <col min="2" max="2" width="27.42578125" style="1" customWidth="1"/>
    <col min="3" max="3" width="11.42578125" style="3" customWidth="1"/>
    <col min="4" max="4" width="14" style="3" customWidth="1"/>
    <col min="5" max="5" width="22.28515625" style="12" customWidth="1"/>
    <col min="6" max="6" width="16.85546875" style="1" customWidth="1"/>
    <col min="7" max="7" width="2.7109375" style="1" customWidth="1"/>
    <col min="8" max="8" width="5.28515625" style="1" customWidth="1"/>
    <col min="9" max="10" width="5.7109375" style="2" customWidth="1"/>
    <col min="11" max="11" width="2.7109375" style="1" customWidth="1"/>
    <col min="12" max="12" width="3" style="1" customWidth="1"/>
    <col min="13" max="13" width="6.42578125" style="1" hidden="1"/>
    <col min="14" max="14" width="5.140625" style="1" hidden="1"/>
    <col min="15" max="15" width="6.85546875" style="2" hidden="1"/>
    <col min="16" max="16" width="17.7109375" style="1" hidden="1"/>
    <col min="17" max="17" width="16" style="1" hidden="1"/>
    <col min="18" max="18" width="17.7109375" style="1" hidden="1"/>
    <col min="19" max="243" width="11.42578125" style="1" hidden="1"/>
    <col min="244" max="244" width="15.42578125" style="1" hidden="1"/>
    <col min="245" max="245" width="11.42578125" style="1" hidden="1"/>
    <col min="246" max="246" width="15.7109375" style="1" hidden="1"/>
    <col min="247" max="247" width="21.85546875" style="1" hidden="1"/>
    <col min="248" max="250" width="11.42578125" style="1" hidden="1"/>
    <col min="251" max="251" width="16" style="1" hidden="1"/>
    <col min="252" max="252" width="20.42578125" style="1" hidden="1"/>
    <col min="253" max="499" width="11.42578125" style="1" hidden="1"/>
    <col min="500" max="500" width="15.42578125" style="1" hidden="1"/>
    <col min="501" max="501" width="11.42578125" style="1" hidden="1"/>
    <col min="502" max="502" width="15.7109375" style="1" hidden="1"/>
    <col min="503" max="503" width="21.85546875" style="1" hidden="1"/>
    <col min="504" max="506" width="11.42578125" style="1" hidden="1"/>
    <col min="507" max="507" width="16" style="1" hidden="1"/>
    <col min="508" max="508" width="20.42578125" style="1" hidden="1"/>
    <col min="509" max="755" width="11.42578125" style="1" hidden="1"/>
    <col min="756" max="756" width="15.42578125" style="1" hidden="1"/>
    <col min="757" max="757" width="11.42578125" style="1" hidden="1"/>
    <col min="758" max="758" width="15.7109375" style="1" hidden="1"/>
    <col min="759" max="759" width="21.85546875" style="1" hidden="1"/>
    <col min="760" max="762" width="11.42578125" style="1" hidden="1"/>
    <col min="763" max="763" width="16" style="1" hidden="1"/>
    <col min="764" max="764" width="20.42578125" style="1" hidden="1"/>
    <col min="765" max="1011" width="11.42578125" style="1" hidden="1"/>
    <col min="1012" max="1012" width="15.42578125" style="1" hidden="1"/>
    <col min="1013" max="1013" width="11.42578125" style="1" hidden="1"/>
    <col min="1014" max="1014" width="15.7109375" style="1" hidden="1"/>
    <col min="1015" max="1015" width="21.85546875" style="1" hidden="1"/>
    <col min="1016" max="1018" width="11.42578125" style="1" hidden="1"/>
    <col min="1019" max="1019" width="16" style="1" hidden="1"/>
    <col min="1020" max="1020" width="20.42578125" style="1" hidden="1"/>
    <col min="1021" max="1267" width="11.42578125" style="1" hidden="1"/>
    <col min="1268" max="1268" width="15.42578125" style="1" hidden="1"/>
    <col min="1269" max="1269" width="11.42578125" style="1" hidden="1"/>
    <col min="1270" max="1270" width="15.7109375" style="1" hidden="1"/>
    <col min="1271" max="1271" width="21.85546875" style="1" hidden="1"/>
    <col min="1272" max="1274" width="11.42578125" style="1" hidden="1"/>
    <col min="1275" max="1275" width="16" style="1" hidden="1"/>
    <col min="1276" max="1276" width="20.42578125" style="1" hidden="1"/>
    <col min="1277" max="1523" width="11.42578125" style="1" hidden="1"/>
    <col min="1524" max="1524" width="15.42578125" style="1" hidden="1"/>
    <col min="1525" max="1525" width="11.42578125" style="1" hidden="1"/>
    <col min="1526" max="1526" width="15.7109375" style="1" hidden="1"/>
    <col min="1527" max="1527" width="21.85546875" style="1" hidden="1"/>
    <col min="1528" max="1530" width="11.42578125" style="1" hidden="1"/>
    <col min="1531" max="1531" width="16" style="1" hidden="1"/>
    <col min="1532" max="1532" width="20.42578125" style="1" hidden="1"/>
    <col min="1533" max="1779" width="11.42578125" style="1" hidden="1"/>
    <col min="1780" max="1780" width="15.42578125" style="1" hidden="1"/>
    <col min="1781" max="1781" width="11.42578125" style="1" hidden="1"/>
    <col min="1782" max="1782" width="15.7109375" style="1" hidden="1"/>
    <col min="1783" max="1783" width="21.85546875" style="1" hidden="1"/>
    <col min="1784" max="1786" width="11.42578125" style="1" hidden="1"/>
    <col min="1787" max="1787" width="16" style="1" hidden="1"/>
    <col min="1788" max="1788" width="20.42578125" style="1" hidden="1"/>
    <col min="1789" max="2035" width="11.42578125" style="1" hidden="1"/>
    <col min="2036" max="2036" width="15.42578125" style="1" hidden="1"/>
    <col min="2037" max="2037" width="11.42578125" style="1" hidden="1"/>
    <col min="2038" max="2038" width="15.7109375" style="1" hidden="1"/>
    <col min="2039" max="2039" width="21.85546875" style="1" hidden="1"/>
    <col min="2040" max="2042" width="11.42578125" style="1" hidden="1"/>
    <col min="2043" max="2043" width="16" style="1" hidden="1"/>
    <col min="2044" max="2044" width="20.42578125" style="1" hidden="1"/>
    <col min="2045" max="2291" width="11.42578125" style="1" hidden="1"/>
    <col min="2292" max="2292" width="15.42578125" style="1" hidden="1"/>
    <col min="2293" max="2293" width="11.42578125" style="1" hidden="1"/>
    <col min="2294" max="2294" width="15.7109375" style="1" hidden="1"/>
    <col min="2295" max="2295" width="21.85546875" style="1" hidden="1"/>
    <col min="2296" max="2298" width="11.42578125" style="1" hidden="1"/>
    <col min="2299" max="2299" width="16" style="1" hidden="1"/>
    <col min="2300" max="2300" width="20.42578125" style="1" hidden="1"/>
    <col min="2301" max="2547" width="11.42578125" style="1" hidden="1"/>
    <col min="2548" max="2548" width="15.42578125" style="1" hidden="1"/>
    <col min="2549" max="2549" width="11.42578125" style="1" hidden="1"/>
    <col min="2550" max="2550" width="15.7109375" style="1" hidden="1"/>
    <col min="2551" max="2551" width="21.85546875" style="1" hidden="1"/>
    <col min="2552" max="2554" width="11.42578125" style="1" hidden="1"/>
    <col min="2555" max="2555" width="16" style="1" hidden="1"/>
    <col min="2556" max="2556" width="20.42578125" style="1" hidden="1"/>
    <col min="2557" max="2803" width="11.42578125" style="1" hidden="1"/>
    <col min="2804" max="2804" width="15.42578125" style="1" hidden="1"/>
    <col min="2805" max="2805" width="11.42578125" style="1" hidden="1"/>
    <col min="2806" max="2806" width="15.7109375" style="1" hidden="1"/>
    <col min="2807" max="2807" width="21.85546875" style="1" hidden="1"/>
    <col min="2808" max="2810" width="11.42578125" style="1" hidden="1"/>
    <col min="2811" max="2811" width="16" style="1" hidden="1"/>
    <col min="2812" max="2812" width="20.42578125" style="1" hidden="1"/>
    <col min="2813" max="3059" width="11.42578125" style="1" hidden="1"/>
    <col min="3060" max="3060" width="15.42578125" style="1" hidden="1"/>
    <col min="3061" max="3061" width="11.42578125" style="1" hidden="1"/>
    <col min="3062" max="3062" width="15.7109375" style="1" hidden="1"/>
    <col min="3063" max="3063" width="21.85546875" style="1" hidden="1"/>
    <col min="3064" max="3066" width="11.42578125" style="1" hidden="1"/>
    <col min="3067" max="3067" width="16" style="1" hidden="1"/>
    <col min="3068" max="3068" width="20.42578125" style="1" hidden="1"/>
    <col min="3069" max="3315" width="11.42578125" style="1" hidden="1"/>
    <col min="3316" max="3316" width="15.42578125" style="1" hidden="1"/>
    <col min="3317" max="3317" width="11.42578125" style="1" hidden="1"/>
    <col min="3318" max="3318" width="15.7109375" style="1" hidden="1"/>
    <col min="3319" max="3319" width="21.85546875" style="1" hidden="1"/>
    <col min="3320" max="3322" width="11.42578125" style="1" hidden="1"/>
    <col min="3323" max="3323" width="16" style="1" hidden="1"/>
    <col min="3324" max="3324" width="20.42578125" style="1" hidden="1"/>
    <col min="3325" max="3571" width="11.42578125" style="1" hidden="1"/>
    <col min="3572" max="3572" width="15.42578125" style="1" hidden="1"/>
    <col min="3573" max="3573" width="11.42578125" style="1" hidden="1"/>
    <col min="3574" max="3574" width="15.7109375" style="1" hidden="1"/>
    <col min="3575" max="3575" width="21.85546875" style="1" hidden="1"/>
    <col min="3576" max="3578" width="11.42578125" style="1" hidden="1"/>
    <col min="3579" max="3579" width="16" style="1" hidden="1"/>
    <col min="3580" max="3580" width="20.42578125" style="1" hidden="1"/>
    <col min="3581" max="3827" width="11.42578125" style="1" hidden="1"/>
    <col min="3828" max="3828" width="15.42578125" style="1" hidden="1"/>
    <col min="3829" max="3829" width="11.42578125" style="1" hidden="1"/>
    <col min="3830" max="3830" width="15.7109375" style="1" hidden="1"/>
    <col min="3831" max="3831" width="21.85546875" style="1" hidden="1"/>
    <col min="3832" max="3834" width="11.42578125" style="1" hidden="1"/>
    <col min="3835" max="3835" width="16" style="1" hidden="1"/>
    <col min="3836" max="3836" width="20.42578125" style="1" hidden="1"/>
    <col min="3837" max="4083" width="11.42578125" style="1" hidden="1"/>
    <col min="4084" max="4084" width="15.42578125" style="1" hidden="1"/>
    <col min="4085" max="4085" width="11.42578125" style="1" hidden="1"/>
    <col min="4086" max="4086" width="15.7109375" style="1" hidden="1"/>
    <col min="4087" max="4087" width="21.85546875" style="1" hidden="1"/>
    <col min="4088" max="4090" width="11.42578125" style="1" hidden="1"/>
    <col min="4091" max="4091" width="16" style="1" hidden="1"/>
    <col min="4092" max="4092" width="20.42578125" style="1" hidden="1"/>
    <col min="4093" max="4339" width="11.42578125" style="1" hidden="1"/>
    <col min="4340" max="4340" width="15.42578125" style="1" hidden="1"/>
    <col min="4341" max="4341" width="11.42578125" style="1" hidden="1"/>
    <col min="4342" max="4342" width="15.7109375" style="1" hidden="1"/>
    <col min="4343" max="4343" width="21.85546875" style="1" hidden="1"/>
    <col min="4344" max="4346" width="11.42578125" style="1" hidden="1"/>
    <col min="4347" max="4347" width="16" style="1" hidden="1"/>
    <col min="4348" max="4348" width="20.42578125" style="1" hidden="1"/>
    <col min="4349" max="4595" width="11.42578125" style="1" hidden="1"/>
    <col min="4596" max="4596" width="15.42578125" style="1" hidden="1"/>
    <col min="4597" max="4597" width="11.42578125" style="1" hidden="1"/>
    <col min="4598" max="4598" width="15.7109375" style="1" hidden="1"/>
    <col min="4599" max="4599" width="21.85546875" style="1" hidden="1"/>
    <col min="4600" max="4602" width="11.42578125" style="1" hidden="1"/>
    <col min="4603" max="4603" width="16" style="1" hidden="1"/>
    <col min="4604" max="4604" width="20.42578125" style="1" hidden="1"/>
    <col min="4605" max="4851" width="11.42578125" style="1" hidden="1"/>
    <col min="4852" max="4852" width="15.42578125" style="1" hidden="1"/>
    <col min="4853" max="4853" width="11.42578125" style="1" hidden="1"/>
    <col min="4854" max="4854" width="15.7109375" style="1" hidden="1"/>
    <col min="4855" max="4855" width="21.85546875" style="1" hidden="1"/>
    <col min="4856" max="4858" width="11.42578125" style="1" hidden="1"/>
    <col min="4859" max="4859" width="16" style="1" hidden="1"/>
    <col min="4860" max="4860" width="20.42578125" style="1" hidden="1"/>
    <col min="4861" max="5107" width="11.42578125" style="1" hidden="1"/>
    <col min="5108" max="5108" width="15.42578125" style="1" hidden="1"/>
    <col min="5109" max="5109" width="11.42578125" style="1" hidden="1"/>
    <col min="5110" max="5110" width="15.7109375" style="1" hidden="1"/>
    <col min="5111" max="5111" width="21.85546875" style="1" hidden="1"/>
    <col min="5112" max="5114" width="11.42578125" style="1" hidden="1"/>
    <col min="5115" max="5115" width="16" style="1" hidden="1"/>
    <col min="5116" max="5116" width="20.42578125" style="1" hidden="1"/>
    <col min="5117" max="5363" width="11.42578125" style="1" hidden="1"/>
    <col min="5364" max="5364" width="15.42578125" style="1" hidden="1"/>
    <col min="5365" max="5365" width="11.42578125" style="1" hidden="1"/>
    <col min="5366" max="5366" width="15.7109375" style="1" hidden="1"/>
    <col min="5367" max="5367" width="21.85546875" style="1" hidden="1"/>
    <col min="5368" max="5370" width="11.42578125" style="1" hidden="1"/>
    <col min="5371" max="5371" width="16" style="1" hidden="1"/>
    <col min="5372" max="5372" width="20.42578125" style="1" hidden="1"/>
    <col min="5373" max="5619" width="11.42578125" style="1" hidden="1"/>
    <col min="5620" max="5620" width="15.42578125" style="1" hidden="1"/>
    <col min="5621" max="5621" width="11.42578125" style="1" hidden="1"/>
    <col min="5622" max="5622" width="15.7109375" style="1" hidden="1"/>
    <col min="5623" max="5623" width="21.85546875" style="1" hidden="1"/>
    <col min="5624" max="5626" width="11.42578125" style="1" hidden="1"/>
    <col min="5627" max="5627" width="16" style="1" hidden="1"/>
    <col min="5628" max="5628" width="20.42578125" style="1" hidden="1"/>
    <col min="5629" max="5875" width="11.42578125" style="1" hidden="1"/>
    <col min="5876" max="5876" width="15.42578125" style="1" hidden="1"/>
    <col min="5877" max="5877" width="11.42578125" style="1" hidden="1"/>
    <col min="5878" max="5878" width="15.7109375" style="1" hidden="1"/>
    <col min="5879" max="5879" width="21.85546875" style="1" hidden="1"/>
    <col min="5880" max="5882" width="11.42578125" style="1" hidden="1"/>
    <col min="5883" max="5883" width="16" style="1" hidden="1"/>
    <col min="5884" max="5884" width="20.42578125" style="1" hidden="1"/>
    <col min="5885" max="6131" width="11.42578125" style="1" hidden="1"/>
    <col min="6132" max="6132" width="15.42578125" style="1" hidden="1"/>
    <col min="6133" max="6133" width="11.42578125" style="1" hidden="1"/>
    <col min="6134" max="6134" width="15.7109375" style="1" hidden="1"/>
    <col min="6135" max="6135" width="21.85546875" style="1" hidden="1"/>
    <col min="6136" max="6138" width="11.42578125" style="1" hidden="1"/>
    <col min="6139" max="6139" width="16" style="1" hidden="1"/>
    <col min="6140" max="6140" width="20.42578125" style="1" hidden="1"/>
    <col min="6141" max="6387" width="11.42578125" style="1" hidden="1"/>
    <col min="6388" max="6388" width="15.42578125" style="1" hidden="1"/>
    <col min="6389" max="6389" width="11.42578125" style="1" hidden="1"/>
    <col min="6390" max="6390" width="15.7109375" style="1" hidden="1"/>
    <col min="6391" max="6391" width="21.85546875" style="1" hidden="1"/>
    <col min="6392" max="6394" width="11.42578125" style="1" hidden="1"/>
    <col min="6395" max="6395" width="16" style="1" hidden="1"/>
    <col min="6396" max="6396" width="20.42578125" style="1" hidden="1"/>
    <col min="6397" max="6643" width="11.42578125" style="1" hidden="1"/>
    <col min="6644" max="6644" width="15.42578125" style="1" hidden="1"/>
    <col min="6645" max="6645" width="11.42578125" style="1" hidden="1"/>
    <col min="6646" max="6646" width="15.7109375" style="1" hidden="1"/>
    <col min="6647" max="6647" width="21.85546875" style="1" hidden="1"/>
    <col min="6648" max="6650" width="11.42578125" style="1" hidden="1"/>
    <col min="6651" max="6651" width="16" style="1" hidden="1"/>
    <col min="6652" max="6652" width="20.42578125" style="1" hidden="1"/>
    <col min="6653" max="6899" width="11.42578125" style="1" hidden="1"/>
    <col min="6900" max="6900" width="15.42578125" style="1" hidden="1"/>
    <col min="6901" max="6901" width="11.42578125" style="1" hidden="1"/>
    <col min="6902" max="6902" width="15.7109375" style="1" hidden="1"/>
    <col min="6903" max="6903" width="21.85546875" style="1" hidden="1"/>
    <col min="6904" max="6906" width="11.42578125" style="1" hidden="1"/>
    <col min="6907" max="6907" width="16" style="1" hidden="1"/>
    <col min="6908" max="6908" width="20.42578125" style="1" hidden="1"/>
    <col min="6909" max="7155" width="11.42578125" style="1" hidden="1"/>
    <col min="7156" max="7156" width="15.42578125" style="1" hidden="1"/>
    <col min="7157" max="7157" width="11.42578125" style="1" hidden="1"/>
    <col min="7158" max="7158" width="15.7109375" style="1" hidden="1"/>
    <col min="7159" max="7159" width="21.85546875" style="1" hidden="1"/>
    <col min="7160" max="7162" width="11.42578125" style="1" hidden="1"/>
    <col min="7163" max="7163" width="16" style="1" hidden="1"/>
    <col min="7164" max="7164" width="20.42578125" style="1" hidden="1"/>
    <col min="7165" max="7411" width="11.42578125" style="1" hidden="1"/>
    <col min="7412" max="7412" width="15.42578125" style="1" hidden="1"/>
    <col min="7413" max="7413" width="11.42578125" style="1" hidden="1"/>
    <col min="7414" max="7414" width="15.7109375" style="1" hidden="1"/>
    <col min="7415" max="7415" width="21.85546875" style="1" hidden="1"/>
    <col min="7416" max="7418" width="11.42578125" style="1" hidden="1"/>
    <col min="7419" max="7419" width="16" style="1" hidden="1"/>
    <col min="7420" max="7420" width="20.42578125" style="1" hidden="1"/>
    <col min="7421" max="7667" width="11.42578125" style="1" hidden="1"/>
    <col min="7668" max="7668" width="15.42578125" style="1" hidden="1"/>
    <col min="7669" max="7669" width="11.42578125" style="1" hidden="1"/>
    <col min="7670" max="7670" width="15.7109375" style="1" hidden="1"/>
    <col min="7671" max="7671" width="21.85546875" style="1" hidden="1"/>
    <col min="7672" max="7674" width="11.42578125" style="1" hidden="1"/>
    <col min="7675" max="7675" width="16" style="1" hidden="1"/>
    <col min="7676" max="7676" width="20.42578125" style="1" hidden="1"/>
    <col min="7677" max="7923" width="11.42578125" style="1" hidden="1"/>
    <col min="7924" max="7924" width="15.42578125" style="1" hidden="1"/>
    <col min="7925" max="7925" width="11.42578125" style="1" hidden="1"/>
    <col min="7926" max="7926" width="15.7109375" style="1" hidden="1"/>
    <col min="7927" max="7927" width="21.85546875" style="1" hidden="1"/>
    <col min="7928" max="7930" width="11.42578125" style="1" hidden="1"/>
    <col min="7931" max="7931" width="16" style="1" hidden="1"/>
    <col min="7932" max="7932" width="20.42578125" style="1" hidden="1"/>
    <col min="7933" max="8179" width="11.42578125" style="1" hidden="1"/>
    <col min="8180" max="8180" width="15.42578125" style="1" hidden="1"/>
    <col min="8181" max="8181" width="11.42578125" style="1" hidden="1"/>
    <col min="8182" max="8182" width="15.7109375" style="1" hidden="1"/>
    <col min="8183" max="8183" width="21.85546875" style="1" hidden="1"/>
    <col min="8184" max="8186" width="11.42578125" style="1" hidden="1"/>
    <col min="8187" max="8187" width="16" style="1" hidden="1"/>
    <col min="8188" max="8188" width="20.42578125" style="1" hidden="1"/>
    <col min="8189" max="8435" width="11.42578125" style="1" hidden="1"/>
    <col min="8436" max="8436" width="15.42578125" style="1" hidden="1"/>
    <col min="8437" max="8437" width="11.42578125" style="1" hidden="1"/>
    <col min="8438" max="8438" width="15.7109375" style="1" hidden="1"/>
    <col min="8439" max="8439" width="21.85546875" style="1" hidden="1"/>
    <col min="8440" max="8442" width="11.42578125" style="1" hidden="1"/>
    <col min="8443" max="8443" width="16" style="1" hidden="1"/>
    <col min="8444" max="8444" width="20.42578125" style="1" hidden="1"/>
    <col min="8445" max="8691" width="11.42578125" style="1" hidden="1"/>
    <col min="8692" max="8692" width="15.42578125" style="1" hidden="1"/>
    <col min="8693" max="8693" width="11.42578125" style="1" hidden="1"/>
    <col min="8694" max="8694" width="15.7109375" style="1" hidden="1"/>
    <col min="8695" max="8695" width="21.85546875" style="1" hidden="1"/>
    <col min="8696" max="8698" width="11.42578125" style="1" hidden="1"/>
    <col min="8699" max="8699" width="16" style="1" hidden="1"/>
    <col min="8700" max="8700" width="20.42578125" style="1" hidden="1"/>
    <col min="8701" max="8947" width="11.42578125" style="1" hidden="1"/>
    <col min="8948" max="8948" width="15.42578125" style="1" hidden="1"/>
    <col min="8949" max="8949" width="11.42578125" style="1" hidden="1"/>
    <col min="8950" max="8950" width="15.7109375" style="1" hidden="1"/>
    <col min="8951" max="8951" width="21.85546875" style="1" hidden="1"/>
    <col min="8952" max="8954" width="11.42578125" style="1" hidden="1"/>
    <col min="8955" max="8955" width="16" style="1" hidden="1"/>
    <col min="8956" max="8956" width="20.42578125" style="1" hidden="1"/>
    <col min="8957" max="9203" width="11.42578125" style="1" hidden="1"/>
    <col min="9204" max="9204" width="15.42578125" style="1" hidden="1"/>
    <col min="9205" max="9205" width="11.42578125" style="1" hidden="1"/>
    <col min="9206" max="9206" width="15.7109375" style="1" hidden="1"/>
    <col min="9207" max="9207" width="21.85546875" style="1" hidden="1"/>
    <col min="9208" max="9210" width="11.42578125" style="1" hidden="1"/>
    <col min="9211" max="9211" width="16" style="1" hidden="1"/>
    <col min="9212" max="9212" width="20.42578125" style="1" hidden="1"/>
    <col min="9213" max="9459" width="11.42578125" style="1" hidden="1"/>
    <col min="9460" max="9460" width="15.42578125" style="1" hidden="1"/>
    <col min="9461" max="9461" width="11.42578125" style="1" hidden="1"/>
    <col min="9462" max="9462" width="15.7109375" style="1" hidden="1"/>
    <col min="9463" max="9463" width="21.85546875" style="1" hidden="1"/>
    <col min="9464" max="9466" width="11.42578125" style="1" hidden="1"/>
    <col min="9467" max="9467" width="16" style="1" hidden="1"/>
    <col min="9468" max="9468" width="20.42578125" style="1" hidden="1"/>
    <col min="9469" max="9715" width="11.42578125" style="1" hidden="1"/>
    <col min="9716" max="9716" width="15.42578125" style="1" hidden="1"/>
    <col min="9717" max="9717" width="11.42578125" style="1" hidden="1"/>
    <col min="9718" max="9718" width="15.7109375" style="1" hidden="1"/>
    <col min="9719" max="9719" width="21.85546875" style="1" hidden="1"/>
    <col min="9720" max="9722" width="11.42578125" style="1" hidden="1"/>
    <col min="9723" max="9723" width="16" style="1" hidden="1"/>
    <col min="9724" max="9724" width="20.42578125" style="1" hidden="1"/>
    <col min="9725" max="9971" width="11.42578125" style="1" hidden="1"/>
    <col min="9972" max="9972" width="15.42578125" style="1" hidden="1"/>
    <col min="9973" max="9973" width="11.42578125" style="1" hidden="1"/>
    <col min="9974" max="9974" width="15.7109375" style="1" hidden="1"/>
    <col min="9975" max="9975" width="21.85546875" style="1" hidden="1"/>
    <col min="9976" max="9978" width="11.42578125" style="1" hidden="1"/>
    <col min="9979" max="9979" width="16" style="1" hidden="1"/>
    <col min="9980" max="9980" width="20.42578125" style="1" hidden="1"/>
    <col min="9981" max="10227" width="11.42578125" style="1" hidden="1"/>
    <col min="10228" max="10228" width="15.42578125" style="1" hidden="1"/>
    <col min="10229" max="10229" width="11.42578125" style="1" hidden="1"/>
    <col min="10230" max="10230" width="15.7109375" style="1" hidden="1"/>
    <col min="10231" max="10231" width="21.85546875" style="1" hidden="1"/>
    <col min="10232" max="10234" width="11.42578125" style="1" hidden="1"/>
    <col min="10235" max="10235" width="16" style="1" hidden="1"/>
    <col min="10236" max="10236" width="20.42578125" style="1" hidden="1"/>
    <col min="10237" max="10483" width="11.42578125" style="1" hidden="1"/>
    <col min="10484" max="10484" width="15.42578125" style="1" hidden="1"/>
    <col min="10485" max="10485" width="11.42578125" style="1" hidden="1"/>
    <col min="10486" max="10486" width="15.7109375" style="1" hidden="1"/>
    <col min="10487" max="10487" width="21.85546875" style="1" hidden="1"/>
    <col min="10488" max="10490" width="11.42578125" style="1" hidden="1"/>
    <col min="10491" max="10491" width="16" style="1" hidden="1"/>
    <col min="10492" max="10492" width="20.42578125" style="1" hidden="1"/>
    <col min="10493" max="10739" width="11.42578125" style="1" hidden="1"/>
    <col min="10740" max="10740" width="15.42578125" style="1" hidden="1"/>
    <col min="10741" max="10741" width="11.42578125" style="1" hidden="1"/>
    <col min="10742" max="10742" width="15.7109375" style="1" hidden="1"/>
    <col min="10743" max="10743" width="21.85546875" style="1" hidden="1"/>
    <col min="10744" max="10746" width="11.42578125" style="1" hidden="1"/>
    <col min="10747" max="10747" width="16" style="1" hidden="1"/>
    <col min="10748" max="10748" width="20.42578125" style="1" hidden="1"/>
    <col min="10749" max="10995" width="11.42578125" style="1" hidden="1"/>
    <col min="10996" max="10996" width="15.42578125" style="1" hidden="1"/>
    <col min="10997" max="10997" width="11.42578125" style="1" hidden="1"/>
    <col min="10998" max="10998" width="15.7109375" style="1" hidden="1"/>
    <col min="10999" max="10999" width="21.85546875" style="1" hidden="1"/>
    <col min="11000" max="11002" width="11.42578125" style="1" hidden="1"/>
    <col min="11003" max="11003" width="16" style="1" hidden="1"/>
    <col min="11004" max="11004" width="20.42578125" style="1" hidden="1"/>
    <col min="11005" max="11251" width="11.42578125" style="1" hidden="1"/>
    <col min="11252" max="11252" width="15.42578125" style="1" hidden="1"/>
    <col min="11253" max="11253" width="11.42578125" style="1" hidden="1"/>
    <col min="11254" max="11254" width="15.7109375" style="1" hidden="1"/>
    <col min="11255" max="11255" width="21.85546875" style="1" hidden="1"/>
    <col min="11256" max="11258" width="11.42578125" style="1" hidden="1"/>
    <col min="11259" max="11259" width="16" style="1" hidden="1"/>
    <col min="11260" max="11260" width="20.42578125" style="1" hidden="1"/>
    <col min="11261" max="11507" width="11.42578125" style="1" hidden="1"/>
    <col min="11508" max="11508" width="15.42578125" style="1" hidden="1"/>
    <col min="11509" max="11509" width="11.42578125" style="1" hidden="1"/>
    <col min="11510" max="11510" width="15.7109375" style="1" hidden="1"/>
    <col min="11511" max="11511" width="21.85546875" style="1" hidden="1"/>
    <col min="11512" max="11514" width="11.42578125" style="1" hidden="1"/>
    <col min="11515" max="11515" width="16" style="1" hidden="1"/>
    <col min="11516" max="11516" width="20.42578125" style="1" hidden="1"/>
    <col min="11517" max="11763" width="11.42578125" style="1" hidden="1"/>
    <col min="11764" max="11764" width="15.42578125" style="1" hidden="1"/>
    <col min="11765" max="11765" width="11.42578125" style="1" hidden="1"/>
    <col min="11766" max="11766" width="15.7109375" style="1" hidden="1"/>
    <col min="11767" max="11767" width="21.85546875" style="1" hidden="1"/>
    <col min="11768" max="11770" width="11.42578125" style="1" hidden="1"/>
    <col min="11771" max="11771" width="16" style="1" hidden="1"/>
    <col min="11772" max="11772" width="20.42578125" style="1" hidden="1"/>
    <col min="11773" max="12019" width="11.42578125" style="1" hidden="1"/>
    <col min="12020" max="12020" width="15.42578125" style="1" hidden="1"/>
    <col min="12021" max="12021" width="11.42578125" style="1" hidden="1"/>
    <col min="12022" max="12022" width="15.7109375" style="1" hidden="1"/>
    <col min="12023" max="12023" width="21.85546875" style="1" hidden="1"/>
    <col min="12024" max="12026" width="11.42578125" style="1" hidden="1"/>
    <col min="12027" max="12027" width="16" style="1" hidden="1"/>
    <col min="12028" max="12028" width="20.42578125" style="1" hidden="1"/>
    <col min="12029" max="12275" width="11.42578125" style="1" hidden="1"/>
    <col min="12276" max="12276" width="15.42578125" style="1" hidden="1"/>
    <col min="12277" max="12277" width="11.42578125" style="1" hidden="1"/>
    <col min="12278" max="12278" width="15.7109375" style="1" hidden="1"/>
    <col min="12279" max="12279" width="21.85546875" style="1" hidden="1"/>
    <col min="12280" max="12282" width="11.42578125" style="1" hidden="1"/>
    <col min="12283" max="12283" width="16" style="1" hidden="1"/>
    <col min="12284" max="12284" width="20.42578125" style="1" hidden="1"/>
    <col min="12285" max="12531" width="11.42578125" style="1" hidden="1"/>
    <col min="12532" max="12532" width="15.42578125" style="1" hidden="1"/>
    <col min="12533" max="12533" width="11.42578125" style="1" hidden="1"/>
    <col min="12534" max="12534" width="15.7109375" style="1" hidden="1"/>
    <col min="12535" max="12535" width="21.85546875" style="1" hidden="1"/>
    <col min="12536" max="12538" width="11.42578125" style="1" hidden="1"/>
    <col min="12539" max="12539" width="16" style="1" hidden="1"/>
    <col min="12540" max="12540" width="20.42578125" style="1" hidden="1"/>
    <col min="12541" max="12787" width="11.42578125" style="1" hidden="1"/>
    <col min="12788" max="12788" width="15.42578125" style="1" hidden="1"/>
    <col min="12789" max="12789" width="11.42578125" style="1" hidden="1"/>
    <col min="12790" max="12790" width="15.7109375" style="1" hidden="1"/>
    <col min="12791" max="12791" width="21.85546875" style="1" hidden="1"/>
    <col min="12792" max="12794" width="11.42578125" style="1" hidden="1"/>
    <col min="12795" max="12795" width="16" style="1" hidden="1"/>
    <col min="12796" max="12796" width="20.42578125" style="1" hidden="1"/>
    <col min="12797" max="13043" width="11.42578125" style="1" hidden="1"/>
    <col min="13044" max="13044" width="15.42578125" style="1" hidden="1"/>
    <col min="13045" max="13045" width="11.42578125" style="1" hidden="1"/>
    <col min="13046" max="13046" width="15.7109375" style="1" hidden="1"/>
    <col min="13047" max="13047" width="21.85546875" style="1" hidden="1"/>
    <col min="13048" max="13050" width="11.42578125" style="1" hidden="1"/>
    <col min="13051" max="13051" width="16" style="1" hidden="1"/>
    <col min="13052" max="13052" width="20.42578125" style="1" hidden="1"/>
    <col min="13053" max="13299" width="11.42578125" style="1" hidden="1"/>
    <col min="13300" max="13300" width="15.42578125" style="1" hidden="1"/>
    <col min="13301" max="13301" width="11.42578125" style="1" hidden="1"/>
    <col min="13302" max="13302" width="15.7109375" style="1" hidden="1"/>
    <col min="13303" max="13303" width="21.85546875" style="1" hidden="1"/>
    <col min="13304" max="13306" width="11.42578125" style="1" hidden="1"/>
    <col min="13307" max="13307" width="16" style="1" hidden="1"/>
    <col min="13308" max="13308" width="20.42578125" style="1" hidden="1"/>
    <col min="13309" max="13555" width="11.42578125" style="1" hidden="1"/>
    <col min="13556" max="13556" width="15.42578125" style="1" hidden="1"/>
    <col min="13557" max="13557" width="11.42578125" style="1" hidden="1"/>
    <col min="13558" max="13558" width="15.7109375" style="1" hidden="1"/>
    <col min="13559" max="13559" width="21.85546875" style="1" hidden="1"/>
    <col min="13560" max="13562" width="11.42578125" style="1" hidden="1"/>
    <col min="13563" max="13563" width="16" style="1" hidden="1"/>
    <col min="13564" max="13564" width="20.42578125" style="1" hidden="1"/>
    <col min="13565" max="13811" width="11.42578125" style="1" hidden="1"/>
    <col min="13812" max="13812" width="15.42578125" style="1" hidden="1"/>
    <col min="13813" max="13813" width="11.42578125" style="1" hidden="1"/>
    <col min="13814" max="13814" width="15.7109375" style="1" hidden="1"/>
    <col min="13815" max="13815" width="21.85546875" style="1" hidden="1"/>
    <col min="13816" max="13818" width="11.42578125" style="1" hidden="1"/>
    <col min="13819" max="13819" width="16" style="1" hidden="1"/>
    <col min="13820" max="13820" width="20.42578125" style="1" hidden="1"/>
    <col min="13821" max="14067" width="11.42578125" style="1" hidden="1"/>
    <col min="14068" max="14068" width="15.42578125" style="1" hidden="1"/>
    <col min="14069" max="14069" width="11.42578125" style="1" hidden="1"/>
    <col min="14070" max="14070" width="15.7109375" style="1" hidden="1"/>
    <col min="14071" max="14071" width="21.85546875" style="1" hidden="1"/>
    <col min="14072" max="14074" width="11.42578125" style="1" hidden="1"/>
    <col min="14075" max="14075" width="16" style="1" hidden="1"/>
    <col min="14076" max="14076" width="20.42578125" style="1" hidden="1"/>
    <col min="14077" max="14323" width="11.42578125" style="1" hidden="1"/>
    <col min="14324" max="14324" width="15.42578125" style="1" hidden="1"/>
    <col min="14325" max="14325" width="11.42578125" style="1" hidden="1"/>
    <col min="14326" max="14326" width="15.7109375" style="1" hidden="1"/>
    <col min="14327" max="14327" width="21.85546875" style="1" hidden="1"/>
    <col min="14328" max="14330" width="11.42578125" style="1" hidden="1"/>
    <col min="14331" max="14331" width="16" style="1" hidden="1"/>
    <col min="14332" max="14332" width="20.42578125" style="1" hidden="1"/>
    <col min="14333" max="14579" width="11.42578125" style="1" hidden="1"/>
    <col min="14580" max="14580" width="15.42578125" style="1" hidden="1"/>
    <col min="14581" max="14581" width="11.42578125" style="1" hidden="1"/>
    <col min="14582" max="14582" width="15.7109375" style="1" hidden="1"/>
    <col min="14583" max="14583" width="21.85546875" style="1" hidden="1"/>
    <col min="14584" max="14586" width="11.42578125" style="1" hidden="1"/>
    <col min="14587" max="14587" width="16" style="1" hidden="1"/>
    <col min="14588" max="14588" width="20.42578125" style="1" hidden="1"/>
    <col min="14589" max="14835" width="11.42578125" style="1" hidden="1"/>
    <col min="14836" max="14836" width="15.42578125" style="1" hidden="1"/>
    <col min="14837" max="14837" width="11.42578125" style="1" hidden="1"/>
    <col min="14838" max="14838" width="15.7109375" style="1" hidden="1"/>
    <col min="14839" max="14839" width="21.85546875" style="1" hidden="1"/>
    <col min="14840" max="14842" width="11.42578125" style="1" hidden="1"/>
    <col min="14843" max="14843" width="16" style="1" hidden="1"/>
    <col min="14844" max="14844" width="20.42578125" style="1" hidden="1"/>
    <col min="14845" max="15091" width="11.42578125" style="1" hidden="1"/>
    <col min="15092" max="15092" width="15.42578125" style="1" hidden="1"/>
    <col min="15093" max="15093" width="11.42578125" style="1" hidden="1"/>
    <col min="15094" max="15094" width="15.7109375" style="1" hidden="1"/>
    <col min="15095" max="15095" width="21.85546875" style="1" hidden="1"/>
    <col min="15096" max="15098" width="11.42578125" style="1" hidden="1"/>
    <col min="15099" max="15099" width="16" style="1" hidden="1"/>
    <col min="15100" max="15100" width="20.42578125" style="1" hidden="1"/>
    <col min="15101" max="15347" width="11.42578125" style="1" hidden="1"/>
    <col min="15348" max="15348" width="15.42578125" style="1" hidden="1"/>
    <col min="15349" max="15349" width="11.42578125" style="1" hidden="1"/>
    <col min="15350" max="15350" width="15.7109375" style="1" hidden="1"/>
    <col min="15351" max="15351" width="21.85546875" style="1" hidden="1"/>
    <col min="15352" max="15354" width="11.42578125" style="1" hidden="1"/>
    <col min="15355" max="15355" width="16" style="1" hidden="1"/>
    <col min="15356" max="15356" width="20.42578125" style="1" hidden="1"/>
    <col min="15357" max="15603" width="11.42578125" style="1" hidden="1"/>
    <col min="15604" max="15604" width="15.42578125" style="1" hidden="1"/>
    <col min="15605" max="15605" width="11.42578125" style="1" hidden="1"/>
    <col min="15606" max="15606" width="15.7109375" style="1" hidden="1"/>
    <col min="15607" max="15607" width="21.85546875" style="1" hidden="1"/>
    <col min="15608" max="15610" width="11.42578125" style="1" hidden="1"/>
    <col min="15611" max="15611" width="16" style="1" hidden="1"/>
    <col min="15612" max="15612" width="20.42578125" style="1" hidden="1"/>
    <col min="15613" max="15859" width="11.42578125" style="1" hidden="1"/>
    <col min="15860" max="15860" width="15.42578125" style="1" hidden="1"/>
    <col min="15861" max="15861" width="11.42578125" style="1" hidden="1"/>
    <col min="15862" max="15862" width="15.7109375" style="1" hidden="1"/>
    <col min="15863" max="15863" width="21.85546875" style="1" hidden="1"/>
    <col min="15864" max="15866" width="11.42578125" style="1" hidden="1"/>
    <col min="15867" max="15867" width="16" style="1" hidden="1"/>
    <col min="15868" max="15868" width="20.42578125" style="1" hidden="1"/>
    <col min="15869" max="16115" width="11.42578125" style="1" hidden="1"/>
    <col min="16116" max="16116" width="15.42578125" style="1" hidden="1"/>
    <col min="16117" max="16117" width="11.42578125" style="1" hidden="1"/>
    <col min="16118" max="16118" width="15.7109375" style="1" hidden="1"/>
    <col min="16119" max="16119" width="21.85546875" style="1" hidden="1"/>
    <col min="16120" max="16122" width="11.42578125" style="1" hidden="1"/>
    <col min="16123" max="16123" width="16" style="1" hidden="1"/>
    <col min="16124" max="16124" width="20.42578125" style="1" hidden="1"/>
    <col min="16125" max="16127" width="11.42578125" style="1" hidden="1"/>
    <col min="16128" max="16128" width="15.42578125" style="1" hidden="1"/>
    <col min="16129" max="16129" width="11.42578125" style="1" hidden="1"/>
    <col min="16130" max="16130" width="15.7109375" style="1" hidden="1"/>
    <col min="16131" max="16131" width="21.85546875" style="1" hidden="1"/>
    <col min="16132" max="16134" width="11.42578125" style="1" hidden="1"/>
    <col min="16135" max="16135" width="16" style="1" hidden="1"/>
    <col min="16136" max="16137" width="20.42578125" style="1" hidden="1"/>
    <col min="16138" max="16139" width="11.42578125" style="1" hidden="1"/>
    <col min="16140" max="16140" width="16" style="1" hidden="1"/>
    <col min="16141" max="16145" width="20.42578125" style="1" hidden="1"/>
    <col min="16146" max="16384" width="11.42578125" style="1" hidden="1"/>
  </cols>
  <sheetData>
    <row r="1" spans="1:17" ht="54" customHeight="1" x14ac:dyDescent="0.2">
      <c r="A1" s="26" t="s">
        <v>0</v>
      </c>
      <c r="B1" s="26" t="s">
        <v>1</v>
      </c>
      <c r="C1" s="27" t="s">
        <v>2</v>
      </c>
      <c r="D1" s="27" t="s">
        <v>27</v>
      </c>
      <c r="E1" s="27" t="s">
        <v>3</v>
      </c>
      <c r="F1" s="28" t="s">
        <v>4</v>
      </c>
      <c r="G1" s="4"/>
      <c r="H1" s="39" t="s">
        <v>71</v>
      </c>
      <c r="I1" s="39" t="s">
        <v>42</v>
      </c>
      <c r="J1" s="39" t="s">
        <v>34</v>
      </c>
      <c r="K1" s="4"/>
      <c r="L1" s="22"/>
      <c r="M1" s="5" t="s">
        <v>6</v>
      </c>
      <c r="N1" s="5" t="s">
        <v>5</v>
      </c>
      <c r="O1" s="5" t="s">
        <v>9</v>
      </c>
      <c r="P1" s="5" t="s">
        <v>8</v>
      </c>
      <c r="Q1" s="4" t="s">
        <v>7</v>
      </c>
    </row>
    <row r="2" spans="1:17" ht="13.15" customHeight="1" x14ac:dyDescent="0.2">
      <c r="A2" s="29" t="str">
        <f>RAWDATA!B2</f>
        <v>applicant.last_name</v>
      </c>
      <c r="B2" s="29" t="str">
        <f>RAWDATA!C2</f>
        <v>applicant.first_name</v>
      </c>
      <c r="C2" s="30" t="str">
        <f>RAWDATA!D2</f>
        <v>applicant.origin.short_name</v>
      </c>
      <c r="D2" s="30" t="str">
        <f>RAWDATA!E2</f>
        <v>applicant.tag</v>
      </c>
      <c r="E2" s="33" t="str">
        <f>RAWDATA!F2</f>
        <v>attendance.sanitized_grade</v>
      </c>
      <c r="F2" s="30" t="e">
        <f>LOOKUP(E2,{0;1;49.1;55.1;61.1;67.1;72.1;78.1;84.1;89.1;94.1;97.1},{"KP";"NB";4;3.7;3.3;3;2.7;2.3;2;1.7;1.3;1})</f>
        <v>#N/A</v>
      </c>
      <c r="G2" s="4"/>
      <c r="H2" s="30" t="str">
        <f>RAWDATA!J2</f>
        <v>attendance.hide_grade_str</v>
      </c>
      <c r="I2" s="32" t="str">
        <f>RAWDATA!G2</f>
        <v>attendance.ects_points</v>
      </c>
      <c r="J2" s="32" t="str">
        <f t="shared" ref="J2" si="0">IF(E2&gt;0,"X","")</f>
        <v>X</v>
      </c>
      <c r="K2" s="4"/>
      <c r="L2" s="22"/>
      <c r="M2" s="2" t="str">
        <f>IF(E2&gt;0,$B$43,0)</f>
        <v>course.ects_points</v>
      </c>
      <c r="N2" s="2" t="str">
        <f>IF(E2&gt;0,$B$42,0)</f>
        <v>course.ger</v>
      </c>
      <c r="O2" s="11" t="e">
        <f>IF(E2&gt;0,$F$38,0)</f>
        <v>#DIV/0!</v>
      </c>
      <c r="P2" s="1" t="str">
        <f>IF(E2&gt;0,$B$44,0)</f>
        <v>course.name</v>
      </c>
      <c r="Q2" s="1" t="str">
        <f>IF(E2&gt;0,$B$41,0)</f>
        <v>course.teacher_name</v>
      </c>
    </row>
    <row r="3" spans="1:17" x14ac:dyDescent="0.2">
      <c r="A3" s="29">
        <f>RAWDATA!B3</f>
        <v>0</v>
      </c>
      <c r="B3" s="29">
        <f>RAWDATA!C3</f>
        <v>0</v>
      </c>
      <c r="C3" s="30">
        <f>RAWDATA!D3</f>
        <v>0</v>
      </c>
      <c r="D3" s="30">
        <f>RAWDATA!E3</f>
        <v>0</v>
      </c>
      <c r="E3" s="33">
        <f>RAWDATA!F3</f>
        <v>0</v>
      </c>
      <c r="F3" s="30" t="str">
        <f>LOOKUP(E3,{0;1;49.1;55.1;61.1;67.1;72.1;78.1;84.1;89.1;94.1;97.1},{"KP";"NB";4;3.7;3.3;3;2.7;2.3;2;1.7;1.3;1})</f>
        <v>KP</v>
      </c>
      <c r="G3" s="4"/>
      <c r="H3" s="30">
        <f>RAWDATA!J3</f>
        <v>0</v>
      </c>
      <c r="I3" s="32">
        <f>RAWDATA!G3</f>
        <v>0</v>
      </c>
      <c r="J3" s="32" t="str">
        <f t="shared" ref="J3:J36" si="1">IF(E3&gt;0,"X","")</f>
        <v/>
      </c>
      <c r="K3" s="4"/>
      <c r="L3" s="22"/>
      <c r="M3" s="2">
        <f t="shared" ref="M3:M36" si="2">IF(E3&gt;0,$B$43,0)</f>
        <v>0</v>
      </c>
      <c r="N3" s="2">
        <f t="shared" ref="N3:N36" si="3">IF(E3&gt;0,$B$42,0)</f>
        <v>0</v>
      </c>
      <c r="O3" s="11">
        <f t="shared" ref="O3:O36" si="4">IF(E3&gt;0,$F$38,0)</f>
        <v>0</v>
      </c>
      <c r="P3" s="1">
        <f t="shared" ref="P3:P36" si="5">IF(E3&gt;0,$B$44,0)</f>
        <v>0</v>
      </c>
      <c r="Q3" s="1">
        <f t="shared" ref="Q3:Q36" si="6">IF(E3&gt;0,$B$41,0)</f>
        <v>0</v>
      </c>
    </row>
    <row r="4" spans="1:17" x14ac:dyDescent="0.2">
      <c r="A4" s="29">
        <f>RAWDATA!B4</f>
        <v>0</v>
      </c>
      <c r="B4" s="29">
        <f>RAWDATA!C4</f>
        <v>0</v>
      </c>
      <c r="C4" s="30">
        <f>RAWDATA!D4</f>
        <v>0</v>
      </c>
      <c r="D4" s="30">
        <f>RAWDATA!E4</f>
        <v>0</v>
      </c>
      <c r="E4" s="33">
        <f>RAWDATA!F4</f>
        <v>0</v>
      </c>
      <c r="F4" s="30" t="str">
        <f>LOOKUP(E4,{0;1;49.1;55.1;61.1;67.1;72.1;78.1;84.1;89.1;94.1;97.1},{"KP";"NB";4;3.7;3.3;3;2.7;2.3;2;1.7;1.3;1})</f>
        <v>KP</v>
      </c>
      <c r="G4" s="4"/>
      <c r="H4" s="30">
        <f>RAWDATA!J4</f>
        <v>0</v>
      </c>
      <c r="I4" s="32">
        <f>RAWDATA!G4</f>
        <v>0</v>
      </c>
      <c r="J4" s="32" t="str">
        <f t="shared" si="1"/>
        <v/>
      </c>
      <c r="K4" s="4"/>
      <c r="L4" s="22"/>
      <c r="M4" s="2">
        <f t="shared" si="2"/>
        <v>0</v>
      </c>
      <c r="N4" s="2">
        <f t="shared" si="3"/>
        <v>0</v>
      </c>
      <c r="O4" s="11">
        <f t="shared" si="4"/>
        <v>0</v>
      </c>
      <c r="P4" s="1">
        <f t="shared" si="5"/>
        <v>0</v>
      </c>
      <c r="Q4" s="1">
        <f t="shared" si="6"/>
        <v>0</v>
      </c>
    </row>
    <row r="5" spans="1:17" x14ac:dyDescent="0.2">
      <c r="A5" s="29">
        <f>RAWDATA!B5</f>
        <v>0</v>
      </c>
      <c r="B5" s="29">
        <f>RAWDATA!C5</f>
        <v>0</v>
      </c>
      <c r="C5" s="30">
        <f>RAWDATA!D5</f>
        <v>0</v>
      </c>
      <c r="D5" s="30">
        <f>RAWDATA!E5</f>
        <v>0</v>
      </c>
      <c r="E5" s="33">
        <f>RAWDATA!F5</f>
        <v>0</v>
      </c>
      <c r="F5" s="30" t="str">
        <f>LOOKUP(E5,{0;1;49.1;55.1;61.1;67.1;72.1;78.1;84.1;89.1;94.1;97.1},{"KP";"NB";4;3.7;3.3;3;2.7;2.3;2;1.7;1.3;1})</f>
        <v>KP</v>
      </c>
      <c r="G5" s="4"/>
      <c r="H5" s="30">
        <f>RAWDATA!J5</f>
        <v>0</v>
      </c>
      <c r="I5" s="32">
        <f>RAWDATA!G5</f>
        <v>0</v>
      </c>
      <c r="J5" s="32" t="str">
        <f t="shared" si="1"/>
        <v/>
      </c>
      <c r="K5" s="4"/>
      <c r="L5" s="22"/>
      <c r="M5" s="2">
        <f t="shared" si="2"/>
        <v>0</v>
      </c>
      <c r="N5" s="2">
        <f t="shared" si="3"/>
        <v>0</v>
      </c>
      <c r="O5" s="11">
        <f t="shared" si="4"/>
        <v>0</v>
      </c>
      <c r="P5" s="1">
        <f t="shared" si="5"/>
        <v>0</v>
      </c>
      <c r="Q5" s="1">
        <f t="shared" si="6"/>
        <v>0</v>
      </c>
    </row>
    <row r="6" spans="1:17" x14ac:dyDescent="0.2">
      <c r="A6" s="29">
        <f>RAWDATA!B6</f>
        <v>0</v>
      </c>
      <c r="B6" s="29">
        <f>RAWDATA!C6</f>
        <v>0</v>
      </c>
      <c r="C6" s="30">
        <f>RAWDATA!D6</f>
        <v>0</v>
      </c>
      <c r="D6" s="30">
        <f>RAWDATA!E6</f>
        <v>0</v>
      </c>
      <c r="E6" s="33">
        <f>RAWDATA!F6</f>
        <v>0</v>
      </c>
      <c r="F6" s="30" t="str">
        <f>LOOKUP(E6,{0;1;49.1;55.1;61.1;67.1;72.1;78.1;84.1;89.1;94.1;97.1},{"KP";"NB";4;3.7;3.3;3;2.7;2.3;2;1.7;1.3;1})</f>
        <v>KP</v>
      </c>
      <c r="G6" s="4"/>
      <c r="H6" s="30">
        <f>RAWDATA!J6</f>
        <v>0</v>
      </c>
      <c r="I6" s="32">
        <f>RAWDATA!G6</f>
        <v>0</v>
      </c>
      <c r="J6" s="32" t="str">
        <f t="shared" si="1"/>
        <v/>
      </c>
      <c r="K6" s="4"/>
      <c r="L6" s="22"/>
      <c r="M6" s="2">
        <f t="shared" si="2"/>
        <v>0</v>
      </c>
      <c r="N6" s="2">
        <f t="shared" si="3"/>
        <v>0</v>
      </c>
      <c r="O6" s="11">
        <f t="shared" si="4"/>
        <v>0</v>
      </c>
      <c r="P6" s="1">
        <f t="shared" si="5"/>
        <v>0</v>
      </c>
      <c r="Q6" s="1">
        <f t="shared" si="6"/>
        <v>0</v>
      </c>
    </row>
    <row r="7" spans="1:17" x14ac:dyDescent="0.2">
      <c r="A7" s="29">
        <f>RAWDATA!B7</f>
        <v>0</v>
      </c>
      <c r="B7" s="29">
        <f>RAWDATA!C7</f>
        <v>0</v>
      </c>
      <c r="C7" s="30">
        <f>RAWDATA!D7</f>
        <v>0</v>
      </c>
      <c r="D7" s="30">
        <f>RAWDATA!E7</f>
        <v>0</v>
      </c>
      <c r="E7" s="33">
        <f>RAWDATA!F7</f>
        <v>0</v>
      </c>
      <c r="F7" s="30" t="str">
        <f>LOOKUP(E7,{0;1;49.1;55.1;61.1;67.1;72.1;78.1;84.1;89.1;94.1;97.1},{"KP";"NB";4;3.7;3.3;3;2.7;2.3;2;1.7;1.3;1})</f>
        <v>KP</v>
      </c>
      <c r="G7" s="4"/>
      <c r="H7" s="30">
        <f>RAWDATA!J7</f>
        <v>0</v>
      </c>
      <c r="I7" s="32">
        <f>RAWDATA!G7</f>
        <v>0</v>
      </c>
      <c r="J7" s="32" t="str">
        <f t="shared" si="1"/>
        <v/>
      </c>
      <c r="K7" s="4"/>
      <c r="L7" s="22"/>
      <c r="M7" s="2">
        <f t="shared" si="2"/>
        <v>0</v>
      </c>
      <c r="N7" s="2">
        <f t="shared" si="3"/>
        <v>0</v>
      </c>
      <c r="O7" s="11">
        <f t="shared" si="4"/>
        <v>0</v>
      </c>
      <c r="P7" s="1">
        <f t="shared" si="5"/>
        <v>0</v>
      </c>
      <c r="Q7" s="1">
        <f t="shared" si="6"/>
        <v>0</v>
      </c>
    </row>
    <row r="8" spans="1:17" x14ac:dyDescent="0.2">
      <c r="A8" s="29">
        <f>RAWDATA!B8</f>
        <v>0</v>
      </c>
      <c r="B8" s="29">
        <f>RAWDATA!C8</f>
        <v>0</v>
      </c>
      <c r="C8" s="30">
        <f>RAWDATA!D8</f>
        <v>0</v>
      </c>
      <c r="D8" s="30">
        <f>RAWDATA!E8</f>
        <v>0</v>
      </c>
      <c r="E8" s="33">
        <f>RAWDATA!F8</f>
        <v>0</v>
      </c>
      <c r="F8" s="30" t="str">
        <f>LOOKUP(E8,{0;1;49.1;55.1;61.1;67.1;72.1;78.1;84.1;89.1;94.1;97.1},{"KP";"NB";4;3.7;3.3;3;2.7;2.3;2;1.7;1.3;1})</f>
        <v>KP</v>
      </c>
      <c r="G8" s="4"/>
      <c r="H8" s="30">
        <f>RAWDATA!J8</f>
        <v>0</v>
      </c>
      <c r="I8" s="32">
        <f>RAWDATA!G8</f>
        <v>0</v>
      </c>
      <c r="J8" s="32" t="str">
        <f t="shared" si="1"/>
        <v/>
      </c>
      <c r="K8" s="4"/>
      <c r="L8" s="22"/>
      <c r="M8" s="2">
        <f t="shared" si="2"/>
        <v>0</v>
      </c>
      <c r="N8" s="2">
        <f t="shared" si="3"/>
        <v>0</v>
      </c>
      <c r="O8" s="11">
        <f t="shared" si="4"/>
        <v>0</v>
      </c>
      <c r="P8" s="1">
        <f t="shared" si="5"/>
        <v>0</v>
      </c>
      <c r="Q8" s="1">
        <f t="shared" si="6"/>
        <v>0</v>
      </c>
    </row>
    <row r="9" spans="1:17" x14ac:dyDescent="0.2">
      <c r="A9" s="29">
        <f>RAWDATA!B9</f>
        <v>0</v>
      </c>
      <c r="B9" s="29">
        <f>RAWDATA!C9</f>
        <v>0</v>
      </c>
      <c r="C9" s="30">
        <f>RAWDATA!D9</f>
        <v>0</v>
      </c>
      <c r="D9" s="30">
        <f>RAWDATA!E9</f>
        <v>0</v>
      </c>
      <c r="E9" s="33">
        <f>RAWDATA!F9</f>
        <v>0</v>
      </c>
      <c r="F9" s="30" t="str">
        <f>LOOKUP(E9,{0;1;49.1;55.1;61.1;67.1;72.1;78.1;84.1;89.1;94.1;97.1},{"KP";"NB";4;3.7;3.3;3;2.7;2.3;2;1.7;1.3;1})</f>
        <v>KP</v>
      </c>
      <c r="G9" s="4"/>
      <c r="H9" s="30">
        <f>RAWDATA!J9</f>
        <v>0</v>
      </c>
      <c r="I9" s="32">
        <f>RAWDATA!G9</f>
        <v>0</v>
      </c>
      <c r="J9" s="32" t="str">
        <f t="shared" si="1"/>
        <v/>
      </c>
      <c r="K9" s="4"/>
      <c r="L9" s="22"/>
      <c r="M9" s="2">
        <f t="shared" si="2"/>
        <v>0</v>
      </c>
      <c r="N9" s="2">
        <f t="shared" si="3"/>
        <v>0</v>
      </c>
      <c r="O9" s="11">
        <f t="shared" si="4"/>
        <v>0</v>
      </c>
      <c r="P9" s="1">
        <f t="shared" si="5"/>
        <v>0</v>
      </c>
      <c r="Q9" s="1">
        <f t="shared" si="6"/>
        <v>0</v>
      </c>
    </row>
    <row r="10" spans="1:17" x14ac:dyDescent="0.2">
      <c r="A10" s="29">
        <f>RAWDATA!B10</f>
        <v>0</v>
      </c>
      <c r="B10" s="29">
        <f>RAWDATA!C10</f>
        <v>0</v>
      </c>
      <c r="C10" s="30">
        <f>RAWDATA!D10</f>
        <v>0</v>
      </c>
      <c r="D10" s="30">
        <f>RAWDATA!E10</f>
        <v>0</v>
      </c>
      <c r="E10" s="33">
        <f>RAWDATA!F10</f>
        <v>0</v>
      </c>
      <c r="F10" s="30" t="str">
        <f>LOOKUP(E10,{0;1;49.1;55.1;61.1;67.1;72.1;78.1;84.1;89.1;94.1;97.1},{"KP";"NB";4;3.7;3.3;3;2.7;2.3;2;1.7;1.3;1})</f>
        <v>KP</v>
      </c>
      <c r="G10" s="4"/>
      <c r="H10" s="30">
        <f>RAWDATA!J10</f>
        <v>0</v>
      </c>
      <c r="I10" s="32">
        <f>RAWDATA!G10</f>
        <v>0</v>
      </c>
      <c r="J10" s="32" t="str">
        <f t="shared" si="1"/>
        <v/>
      </c>
      <c r="K10" s="4"/>
      <c r="L10" s="22"/>
      <c r="M10" s="2">
        <f t="shared" si="2"/>
        <v>0</v>
      </c>
      <c r="N10" s="2">
        <f t="shared" si="3"/>
        <v>0</v>
      </c>
      <c r="O10" s="11">
        <f t="shared" si="4"/>
        <v>0</v>
      </c>
      <c r="P10" s="1">
        <f t="shared" si="5"/>
        <v>0</v>
      </c>
      <c r="Q10" s="1">
        <f t="shared" si="6"/>
        <v>0</v>
      </c>
    </row>
    <row r="11" spans="1:17" x14ac:dyDescent="0.2">
      <c r="A11" s="29">
        <f>RAWDATA!B11</f>
        <v>0</v>
      </c>
      <c r="B11" s="29">
        <f>RAWDATA!C11</f>
        <v>0</v>
      </c>
      <c r="C11" s="30">
        <f>RAWDATA!D11</f>
        <v>0</v>
      </c>
      <c r="D11" s="30">
        <f>RAWDATA!E11</f>
        <v>0</v>
      </c>
      <c r="E11" s="33">
        <f>RAWDATA!F11</f>
        <v>0</v>
      </c>
      <c r="F11" s="30" t="str">
        <f>LOOKUP(E11,{0;1;49.1;55.1;61.1;67.1;72.1;78.1;84.1;89.1;94.1;97.1},{"KP";"NB";4;3.7;3.3;3;2.7;2.3;2;1.7;1.3;1})</f>
        <v>KP</v>
      </c>
      <c r="G11" s="4"/>
      <c r="H11" s="30">
        <f>RAWDATA!J11</f>
        <v>0</v>
      </c>
      <c r="I11" s="32">
        <f>RAWDATA!G11</f>
        <v>0</v>
      </c>
      <c r="J11" s="32" t="str">
        <f t="shared" si="1"/>
        <v/>
      </c>
      <c r="K11" s="4"/>
      <c r="L11" s="22"/>
      <c r="M11" s="2">
        <f t="shared" si="2"/>
        <v>0</v>
      </c>
      <c r="N11" s="2">
        <f t="shared" si="3"/>
        <v>0</v>
      </c>
      <c r="O11" s="11">
        <f t="shared" si="4"/>
        <v>0</v>
      </c>
      <c r="P11" s="1">
        <f t="shared" si="5"/>
        <v>0</v>
      </c>
      <c r="Q11" s="1">
        <f t="shared" si="6"/>
        <v>0</v>
      </c>
    </row>
    <row r="12" spans="1:17" x14ac:dyDescent="0.2">
      <c r="A12" s="29">
        <f>RAWDATA!B12</f>
        <v>0</v>
      </c>
      <c r="B12" s="29">
        <f>RAWDATA!C12</f>
        <v>0</v>
      </c>
      <c r="C12" s="30">
        <f>RAWDATA!D12</f>
        <v>0</v>
      </c>
      <c r="D12" s="30">
        <f>RAWDATA!E12</f>
        <v>0</v>
      </c>
      <c r="E12" s="33">
        <f>RAWDATA!F12</f>
        <v>0</v>
      </c>
      <c r="F12" s="30" t="str">
        <f>LOOKUP(E12,{0;1;49.1;55.1;61.1;67.1;72.1;78.1;84.1;89.1;94.1;97.1},{"KP";"NB";4;3.7;3.3;3;2.7;2.3;2;1.7;1.3;1})</f>
        <v>KP</v>
      </c>
      <c r="G12" s="4"/>
      <c r="H12" s="30">
        <f>RAWDATA!J12</f>
        <v>0</v>
      </c>
      <c r="I12" s="32">
        <f>RAWDATA!G12</f>
        <v>0</v>
      </c>
      <c r="J12" s="32" t="str">
        <f t="shared" si="1"/>
        <v/>
      </c>
      <c r="K12" s="4"/>
      <c r="L12" s="22"/>
      <c r="M12" s="2">
        <f t="shared" si="2"/>
        <v>0</v>
      </c>
      <c r="N12" s="2">
        <f t="shared" si="3"/>
        <v>0</v>
      </c>
      <c r="O12" s="11">
        <f t="shared" si="4"/>
        <v>0</v>
      </c>
      <c r="P12" s="1">
        <f t="shared" si="5"/>
        <v>0</v>
      </c>
      <c r="Q12" s="1">
        <f t="shared" si="6"/>
        <v>0</v>
      </c>
    </row>
    <row r="13" spans="1:17" x14ac:dyDescent="0.2">
      <c r="A13" s="29">
        <f>RAWDATA!B13</f>
        <v>0</v>
      </c>
      <c r="B13" s="29">
        <f>RAWDATA!C13</f>
        <v>0</v>
      </c>
      <c r="C13" s="30">
        <f>RAWDATA!D13</f>
        <v>0</v>
      </c>
      <c r="D13" s="30">
        <f>RAWDATA!E13</f>
        <v>0</v>
      </c>
      <c r="E13" s="33">
        <f>RAWDATA!F13</f>
        <v>0</v>
      </c>
      <c r="F13" s="30" t="str">
        <f>LOOKUP(E13,{0;1;49.1;55.1;61.1;67.1;72.1;78.1;84.1;89.1;94.1;97.1},{"KP";"NB";4;3.7;3.3;3;2.7;2.3;2;1.7;1.3;1})</f>
        <v>KP</v>
      </c>
      <c r="G13" s="4"/>
      <c r="H13" s="30">
        <f>RAWDATA!J13</f>
        <v>0</v>
      </c>
      <c r="I13" s="32">
        <f>RAWDATA!G13</f>
        <v>0</v>
      </c>
      <c r="J13" s="32" t="str">
        <f t="shared" si="1"/>
        <v/>
      </c>
      <c r="K13" s="4"/>
      <c r="L13" s="22"/>
      <c r="M13" s="2">
        <f t="shared" si="2"/>
        <v>0</v>
      </c>
      <c r="N13" s="2">
        <f t="shared" si="3"/>
        <v>0</v>
      </c>
      <c r="O13" s="11">
        <f t="shared" si="4"/>
        <v>0</v>
      </c>
      <c r="P13" s="1">
        <f t="shared" si="5"/>
        <v>0</v>
      </c>
      <c r="Q13" s="1">
        <f t="shared" si="6"/>
        <v>0</v>
      </c>
    </row>
    <row r="14" spans="1:17" x14ac:dyDescent="0.2">
      <c r="A14" s="29">
        <f>RAWDATA!B14</f>
        <v>0</v>
      </c>
      <c r="B14" s="29">
        <f>RAWDATA!C14</f>
        <v>0</v>
      </c>
      <c r="C14" s="30">
        <f>RAWDATA!D14</f>
        <v>0</v>
      </c>
      <c r="D14" s="30">
        <f>RAWDATA!E14</f>
        <v>0</v>
      </c>
      <c r="E14" s="33">
        <f>RAWDATA!F14</f>
        <v>0</v>
      </c>
      <c r="F14" s="30" t="str">
        <f>LOOKUP(E14,{0;1;49.1;55.1;61.1;67.1;72.1;78.1;84.1;89.1;94.1;97.1},{"KP";"NB";4;3.7;3.3;3;2.7;2.3;2;1.7;1.3;1})</f>
        <v>KP</v>
      </c>
      <c r="G14" s="4"/>
      <c r="H14" s="30">
        <f>RAWDATA!J14</f>
        <v>0</v>
      </c>
      <c r="I14" s="32">
        <f>RAWDATA!G14</f>
        <v>0</v>
      </c>
      <c r="J14" s="32" t="str">
        <f t="shared" si="1"/>
        <v/>
      </c>
      <c r="K14" s="4"/>
      <c r="L14" s="22"/>
      <c r="M14" s="2">
        <f t="shared" si="2"/>
        <v>0</v>
      </c>
      <c r="N14" s="2">
        <f t="shared" si="3"/>
        <v>0</v>
      </c>
      <c r="O14" s="11">
        <f t="shared" si="4"/>
        <v>0</v>
      </c>
      <c r="P14" s="1">
        <f t="shared" si="5"/>
        <v>0</v>
      </c>
      <c r="Q14" s="1">
        <f t="shared" si="6"/>
        <v>0</v>
      </c>
    </row>
    <row r="15" spans="1:17" x14ac:dyDescent="0.2">
      <c r="A15" s="29">
        <f>RAWDATA!B15</f>
        <v>0</v>
      </c>
      <c r="B15" s="29">
        <f>RAWDATA!C15</f>
        <v>0</v>
      </c>
      <c r="C15" s="30">
        <f>RAWDATA!D15</f>
        <v>0</v>
      </c>
      <c r="D15" s="30">
        <f>RAWDATA!E15</f>
        <v>0</v>
      </c>
      <c r="E15" s="33">
        <f>RAWDATA!F15</f>
        <v>0</v>
      </c>
      <c r="F15" s="30" t="str">
        <f>LOOKUP(E15,{0;1;49.1;55.1;61.1;67.1;72.1;78.1;84.1;89.1;94.1;97.1},{"KP";"NB";4;3.7;3.3;3;2.7;2.3;2;1.7;1.3;1})</f>
        <v>KP</v>
      </c>
      <c r="G15" s="4"/>
      <c r="H15" s="30">
        <f>RAWDATA!J15</f>
        <v>0</v>
      </c>
      <c r="I15" s="32">
        <f>RAWDATA!G15</f>
        <v>0</v>
      </c>
      <c r="J15" s="32" t="str">
        <f t="shared" si="1"/>
        <v/>
      </c>
      <c r="K15" s="4"/>
      <c r="L15" s="22"/>
      <c r="M15" s="2">
        <f t="shared" si="2"/>
        <v>0</v>
      </c>
      <c r="N15" s="2">
        <f t="shared" si="3"/>
        <v>0</v>
      </c>
      <c r="O15" s="11">
        <f t="shared" si="4"/>
        <v>0</v>
      </c>
      <c r="P15" s="1">
        <f t="shared" si="5"/>
        <v>0</v>
      </c>
      <c r="Q15" s="1">
        <f t="shared" si="6"/>
        <v>0</v>
      </c>
    </row>
    <row r="16" spans="1:17" x14ac:dyDescent="0.2">
      <c r="A16" s="29">
        <f>RAWDATA!B16</f>
        <v>0</v>
      </c>
      <c r="B16" s="29">
        <f>RAWDATA!C16</f>
        <v>0</v>
      </c>
      <c r="C16" s="30">
        <f>RAWDATA!D16</f>
        <v>0</v>
      </c>
      <c r="D16" s="30">
        <f>RAWDATA!E16</f>
        <v>0</v>
      </c>
      <c r="E16" s="33">
        <f>RAWDATA!F16</f>
        <v>0</v>
      </c>
      <c r="F16" s="30" t="str">
        <f>LOOKUP(E16,{0;1;49.1;55.1;61.1;67.1;72.1;78.1;84.1;89.1;94.1;97.1},{"KP";"NB";4;3.7;3.3;3;2.7;2.3;2;1.7;1.3;1})</f>
        <v>KP</v>
      </c>
      <c r="G16" s="4"/>
      <c r="H16" s="30">
        <f>RAWDATA!J16</f>
        <v>0</v>
      </c>
      <c r="I16" s="32">
        <f>RAWDATA!G16</f>
        <v>0</v>
      </c>
      <c r="J16" s="32" t="str">
        <f t="shared" si="1"/>
        <v/>
      </c>
      <c r="K16" s="4"/>
      <c r="L16" s="22"/>
      <c r="M16" s="2">
        <f t="shared" si="2"/>
        <v>0</v>
      </c>
      <c r="N16" s="2">
        <f t="shared" si="3"/>
        <v>0</v>
      </c>
      <c r="O16" s="11">
        <f t="shared" si="4"/>
        <v>0</v>
      </c>
      <c r="P16" s="1">
        <f t="shared" si="5"/>
        <v>0</v>
      </c>
      <c r="Q16" s="1">
        <f t="shared" si="6"/>
        <v>0</v>
      </c>
    </row>
    <row r="17" spans="1:17" x14ac:dyDescent="0.2">
      <c r="A17" s="29">
        <f>RAWDATA!B17</f>
        <v>0</v>
      </c>
      <c r="B17" s="29">
        <f>RAWDATA!C17</f>
        <v>0</v>
      </c>
      <c r="C17" s="30">
        <f>RAWDATA!D17</f>
        <v>0</v>
      </c>
      <c r="D17" s="30">
        <f>RAWDATA!E17</f>
        <v>0</v>
      </c>
      <c r="E17" s="33">
        <f>RAWDATA!F17</f>
        <v>0</v>
      </c>
      <c r="F17" s="30" t="str">
        <f>LOOKUP(E17,{0;1;49.1;55.1;61.1;67.1;72.1;78.1;84.1;89.1;94.1;97.1},{"KP";"NB";4;3.7;3.3;3;2.7;2.3;2;1.7;1.3;1})</f>
        <v>KP</v>
      </c>
      <c r="G17" s="4"/>
      <c r="H17" s="30">
        <f>RAWDATA!J17</f>
        <v>0</v>
      </c>
      <c r="I17" s="32">
        <f>RAWDATA!G17</f>
        <v>0</v>
      </c>
      <c r="J17" s="32" t="str">
        <f t="shared" si="1"/>
        <v/>
      </c>
      <c r="K17" s="4"/>
      <c r="L17" s="22"/>
      <c r="M17" s="2">
        <f t="shared" si="2"/>
        <v>0</v>
      </c>
      <c r="N17" s="2">
        <f t="shared" si="3"/>
        <v>0</v>
      </c>
      <c r="O17" s="11">
        <f t="shared" si="4"/>
        <v>0</v>
      </c>
      <c r="P17" s="1">
        <f t="shared" si="5"/>
        <v>0</v>
      </c>
      <c r="Q17" s="1">
        <f t="shared" si="6"/>
        <v>0</v>
      </c>
    </row>
    <row r="18" spans="1:17" x14ac:dyDescent="0.2">
      <c r="A18" s="29">
        <f>RAWDATA!B18</f>
        <v>0</v>
      </c>
      <c r="B18" s="29">
        <f>RAWDATA!C18</f>
        <v>0</v>
      </c>
      <c r="C18" s="30">
        <f>RAWDATA!D18</f>
        <v>0</v>
      </c>
      <c r="D18" s="30">
        <f>RAWDATA!E18</f>
        <v>0</v>
      </c>
      <c r="E18" s="33">
        <f>RAWDATA!F18</f>
        <v>0</v>
      </c>
      <c r="F18" s="30" t="str">
        <f>LOOKUP(E18,{0;1;49.1;55.1;61.1;67.1;72.1;78.1;84.1;89.1;94.1;97.1},{"KP";"NB";4;3.7;3.3;3;2.7;2.3;2;1.7;1.3;1})</f>
        <v>KP</v>
      </c>
      <c r="G18" s="4"/>
      <c r="H18" s="30">
        <f>RAWDATA!J18</f>
        <v>0</v>
      </c>
      <c r="I18" s="32">
        <f>RAWDATA!G18</f>
        <v>0</v>
      </c>
      <c r="J18" s="32" t="str">
        <f t="shared" si="1"/>
        <v/>
      </c>
      <c r="K18" s="4"/>
      <c r="L18" s="22"/>
      <c r="M18" s="2">
        <f t="shared" si="2"/>
        <v>0</v>
      </c>
      <c r="N18" s="2">
        <f t="shared" si="3"/>
        <v>0</v>
      </c>
      <c r="O18" s="11">
        <f t="shared" si="4"/>
        <v>0</v>
      </c>
      <c r="P18" s="1">
        <f t="shared" si="5"/>
        <v>0</v>
      </c>
      <c r="Q18" s="1">
        <f t="shared" si="6"/>
        <v>0</v>
      </c>
    </row>
    <row r="19" spans="1:17" x14ac:dyDescent="0.2">
      <c r="A19" s="29">
        <f>RAWDATA!B19</f>
        <v>0</v>
      </c>
      <c r="B19" s="29">
        <f>RAWDATA!C19</f>
        <v>0</v>
      </c>
      <c r="C19" s="30">
        <f>RAWDATA!D19</f>
        <v>0</v>
      </c>
      <c r="D19" s="30">
        <f>RAWDATA!E19</f>
        <v>0</v>
      </c>
      <c r="E19" s="33">
        <f>RAWDATA!F19</f>
        <v>0</v>
      </c>
      <c r="F19" s="30" t="str">
        <f>LOOKUP(E19,{0;1;49.1;55.1;61.1;67.1;72.1;78.1;84.1;89.1;94.1;97.1},{"KP";"NB";4;3.7;3.3;3;2.7;2.3;2;1.7;1.3;1})</f>
        <v>KP</v>
      </c>
      <c r="G19" s="4"/>
      <c r="H19" s="30">
        <f>RAWDATA!J19</f>
        <v>0</v>
      </c>
      <c r="I19" s="32">
        <f>RAWDATA!G19</f>
        <v>0</v>
      </c>
      <c r="J19" s="32" t="str">
        <f t="shared" si="1"/>
        <v/>
      </c>
      <c r="K19" s="4"/>
      <c r="L19" s="22"/>
      <c r="M19" s="2">
        <f t="shared" si="2"/>
        <v>0</v>
      </c>
      <c r="N19" s="2">
        <f t="shared" si="3"/>
        <v>0</v>
      </c>
      <c r="O19" s="11">
        <f t="shared" si="4"/>
        <v>0</v>
      </c>
      <c r="P19" s="1">
        <f t="shared" si="5"/>
        <v>0</v>
      </c>
      <c r="Q19" s="1">
        <f t="shared" si="6"/>
        <v>0</v>
      </c>
    </row>
    <row r="20" spans="1:17" x14ac:dyDescent="0.2">
      <c r="A20" s="29">
        <f>RAWDATA!B20</f>
        <v>0</v>
      </c>
      <c r="B20" s="29">
        <f>RAWDATA!C20</f>
        <v>0</v>
      </c>
      <c r="C20" s="30">
        <f>RAWDATA!D20</f>
        <v>0</v>
      </c>
      <c r="D20" s="30">
        <f>RAWDATA!E20</f>
        <v>0</v>
      </c>
      <c r="E20" s="33">
        <f>RAWDATA!F20</f>
        <v>0</v>
      </c>
      <c r="F20" s="30" t="str">
        <f>LOOKUP(E20,{0;1;49.1;55.1;61.1;67.1;72.1;78.1;84.1;89.1;94.1;97.1},{"KP";"NB";4;3.7;3.3;3;2.7;2.3;2;1.7;1.3;1})</f>
        <v>KP</v>
      </c>
      <c r="G20" s="4"/>
      <c r="H20" s="30">
        <f>RAWDATA!J20</f>
        <v>0</v>
      </c>
      <c r="I20" s="32">
        <f>RAWDATA!G20</f>
        <v>0</v>
      </c>
      <c r="J20" s="32" t="str">
        <f t="shared" si="1"/>
        <v/>
      </c>
      <c r="K20" s="4"/>
      <c r="L20" s="22"/>
      <c r="M20" s="2">
        <f t="shared" si="2"/>
        <v>0</v>
      </c>
      <c r="N20" s="2">
        <f t="shared" si="3"/>
        <v>0</v>
      </c>
      <c r="O20" s="11">
        <f t="shared" si="4"/>
        <v>0</v>
      </c>
      <c r="P20" s="1">
        <f t="shared" si="5"/>
        <v>0</v>
      </c>
      <c r="Q20" s="1">
        <f t="shared" si="6"/>
        <v>0</v>
      </c>
    </row>
    <row r="21" spans="1:17" x14ac:dyDescent="0.2">
      <c r="A21" s="29">
        <f>RAWDATA!B21</f>
        <v>0</v>
      </c>
      <c r="B21" s="29">
        <f>RAWDATA!C21</f>
        <v>0</v>
      </c>
      <c r="C21" s="30">
        <f>RAWDATA!D21</f>
        <v>0</v>
      </c>
      <c r="D21" s="30">
        <f>RAWDATA!E21</f>
        <v>0</v>
      </c>
      <c r="E21" s="33">
        <f>RAWDATA!F21</f>
        <v>0</v>
      </c>
      <c r="F21" s="30" t="str">
        <f>LOOKUP(E21,{0;1;49.1;55.1;61.1;67.1;72.1;78.1;84.1;89.1;94.1;97.1},{"KP";"NB";4;3.7;3.3;3;2.7;2.3;2;1.7;1.3;1})</f>
        <v>KP</v>
      </c>
      <c r="G21" s="4"/>
      <c r="H21" s="30">
        <f>RAWDATA!J21</f>
        <v>0</v>
      </c>
      <c r="I21" s="32">
        <f>RAWDATA!G21</f>
        <v>0</v>
      </c>
      <c r="J21" s="32" t="str">
        <f t="shared" si="1"/>
        <v/>
      </c>
      <c r="K21" s="4"/>
      <c r="L21" s="22"/>
      <c r="M21" s="2">
        <f t="shared" si="2"/>
        <v>0</v>
      </c>
      <c r="N21" s="2">
        <f t="shared" si="3"/>
        <v>0</v>
      </c>
      <c r="O21" s="11">
        <f t="shared" si="4"/>
        <v>0</v>
      </c>
      <c r="P21" s="1">
        <f t="shared" si="5"/>
        <v>0</v>
      </c>
      <c r="Q21" s="1">
        <f t="shared" si="6"/>
        <v>0</v>
      </c>
    </row>
    <row r="22" spans="1:17" x14ac:dyDescent="0.2">
      <c r="A22" s="29">
        <f>RAWDATA!B22</f>
        <v>0</v>
      </c>
      <c r="B22" s="29">
        <f>RAWDATA!C22</f>
        <v>0</v>
      </c>
      <c r="C22" s="30">
        <f>RAWDATA!D22</f>
        <v>0</v>
      </c>
      <c r="D22" s="30">
        <f>RAWDATA!E22</f>
        <v>0</v>
      </c>
      <c r="E22" s="33">
        <f>RAWDATA!F22</f>
        <v>0</v>
      </c>
      <c r="F22" s="30" t="str">
        <f>LOOKUP(E22,{0;1;49.1;55.1;61.1;67.1;72.1;78.1;84.1;89.1;94.1;97.1},{"KP";"NB";4;3.7;3.3;3;2.7;2.3;2;1.7;1.3;1})</f>
        <v>KP</v>
      </c>
      <c r="G22" s="4"/>
      <c r="H22" s="30">
        <f>RAWDATA!J22</f>
        <v>0</v>
      </c>
      <c r="I22" s="32">
        <f>RAWDATA!G22</f>
        <v>0</v>
      </c>
      <c r="J22" s="32" t="str">
        <f t="shared" si="1"/>
        <v/>
      </c>
      <c r="K22" s="4"/>
      <c r="L22" s="22"/>
      <c r="M22" s="2">
        <f t="shared" si="2"/>
        <v>0</v>
      </c>
      <c r="N22" s="2">
        <f t="shared" si="3"/>
        <v>0</v>
      </c>
      <c r="O22" s="11">
        <f t="shared" si="4"/>
        <v>0</v>
      </c>
      <c r="P22" s="1">
        <f t="shared" si="5"/>
        <v>0</v>
      </c>
      <c r="Q22" s="1">
        <f t="shared" si="6"/>
        <v>0</v>
      </c>
    </row>
    <row r="23" spans="1:17" x14ac:dyDescent="0.2">
      <c r="A23" s="29">
        <f>RAWDATA!B23</f>
        <v>0</v>
      </c>
      <c r="B23" s="29">
        <f>RAWDATA!C23</f>
        <v>0</v>
      </c>
      <c r="C23" s="30">
        <f>RAWDATA!D23</f>
        <v>0</v>
      </c>
      <c r="D23" s="30">
        <f>RAWDATA!E23</f>
        <v>0</v>
      </c>
      <c r="E23" s="33">
        <f>RAWDATA!F23</f>
        <v>0</v>
      </c>
      <c r="F23" s="30" t="str">
        <f>LOOKUP(E23,{0;1;49.1;55.1;61.1;67.1;72.1;78.1;84.1;89.1;94.1;97.1},{"KP";"NB";4;3.7;3.3;3;2.7;2.3;2;1.7;1.3;1})</f>
        <v>KP</v>
      </c>
      <c r="G23" s="4"/>
      <c r="H23" s="30">
        <f>RAWDATA!J23</f>
        <v>0</v>
      </c>
      <c r="I23" s="32">
        <f>RAWDATA!G23</f>
        <v>0</v>
      </c>
      <c r="J23" s="32" t="str">
        <f t="shared" si="1"/>
        <v/>
      </c>
      <c r="K23" s="4"/>
      <c r="L23" s="22"/>
      <c r="M23" s="2">
        <f t="shared" si="2"/>
        <v>0</v>
      </c>
      <c r="N23" s="2">
        <f t="shared" si="3"/>
        <v>0</v>
      </c>
      <c r="O23" s="11">
        <f t="shared" si="4"/>
        <v>0</v>
      </c>
      <c r="P23" s="1">
        <f t="shared" si="5"/>
        <v>0</v>
      </c>
      <c r="Q23" s="1">
        <f t="shared" si="6"/>
        <v>0</v>
      </c>
    </row>
    <row r="24" spans="1:17" x14ac:dyDescent="0.2">
      <c r="A24" s="29">
        <f>RAWDATA!B24</f>
        <v>0</v>
      </c>
      <c r="B24" s="29">
        <f>RAWDATA!C24</f>
        <v>0</v>
      </c>
      <c r="C24" s="30">
        <f>RAWDATA!D24</f>
        <v>0</v>
      </c>
      <c r="D24" s="30">
        <f>RAWDATA!E24</f>
        <v>0</v>
      </c>
      <c r="E24" s="33">
        <f>RAWDATA!F24</f>
        <v>0</v>
      </c>
      <c r="F24" s="30" t="str">
        <f>LOOKUP(E24,{0;1;49.1;55.1;61.1;67.1;72.1;78.1;84.1;89.1;94.1;97.1},{"KP";"NB";4;3.7;3.3;3;2.7;2.3;2;1.7;1.3;1})</f>
        <v>KP</v>
      </c>
      <c r="G24" s="4"/>
      <c r="H24" s="30">
        <f>RAWDATA!J24</f>
        <v>0</v>
      </c>
      <c r="I24" s="32">
        <f>RAWDATA!G24</f>
        <v>0</v>
      </c>
      <c r="J24" s="32" t="str">
        <f t="shared" si="1"/>
        <v/>
      </c>
      <c r="K24" s="4"/>
      <c r="L24" s="22"/>
      <c r="M24" s="2">
        <f t="shared" si="2"/>
        <v>0</v>
      </c>
      <c r="N24" s="2">
        <f t="shared" si="3"/>
        <v>0</v>
      </c>
      <c r="O24" s="11">
        <f t="shared" si="4"/>
        <v>0</v>
      </c>
      <c r="P24" s="1">
        <f t="shared" si="5"/>
        <v>0</v>
      </c>
      <c r="Q24" s="1">
        <f t="shared" si="6"/>
        <v>0</v>
      </c>
    </row>
    <row r="25" spans="1:17" x14ac:dyDescent="0.2">
      <c r="A25" s="29">
        <f>RAWDATA!B25</f>
        <v>0</v>
      </c>
      <c r="B25" s="29">
        <f>RAWDATA!C25</f>
        <v>0</v>
      </c>
      <c r="C25" s="30">
        <f>RAWDATA!D25</f>
        <v>0</v>
      </c>
      <c r="D25" s="30">
        <f>RAWDATA!E25</f>
        <v>0</v>
      </c>
      <c r="E25" s="33">
        <f>RAWDATA!F25</f>
        <v>0</v>
      </c>
      <c r="F25" s="30" t="str">
        <f>LOOKUP(E25,{0;1;49.1;55.1;61.1;67.1;72.1;78.1;84.1;89.1;94.1;97.1},{"KP";"NB";4;3.7;3.3;3;2.7;2.3;2;1.7;1.3;1})</f>
        <v>KP</v>
      </c>
      <c r="G25" s="4"/>
      <c r="H25" s="30">
        <f>RAWDATA!J25</f>
        <v>0</v>
      </c>
      <c r="I25" s="32">
        <f>RAWDATA!G25</f>
        <v>0</v>
      </c>
      <c r="J25" s="32" t="str">
        <f t="shared" si="1"/>
        <v/>
      </c>
      <c r="K25" s="4"/>
      <c r="L25" s="22"/>
      <c r="M25" s="2"/>
      <c r="N25" s="2"/>
      <c r="O25" s="11"/>
    </row>
    <row r="26" spans="1:17" x14ac:dyDescent="0.2">
      <c r="A26" s="29">
        <f>RAWDATA!B26</f>
        <v>0</v>
      </c>
      <c r="B26" s="29">
        <f>RAWDATA!C26</f>
        <v>0</v>
      </c>
      <c r="C26" s="30">
        <f>RAWDATA!D26</f>
        <v>0</v>
      </c>
      <c r="D26" s="30">
        <f>RAWDATA!E26</f>
        <v>0</v>
      </c>
      <c r="E26" s="33">
        <f>RAWDATA!F26</f>
        <v>0</v>
      </c>
      <c r="F26" s="30" t="str">
        <f>LOOKUP(E26,{0;1;49.1;55.1;61.1;67.1;72.1;78.1;84.1;89.1;94.1;97.1},{"KP";"NB";4;3.7;3.3;3;2.7;2.3;2;1.7;1.3;1})</f>
        <v>KP</v>
      </c>
      <c r="G26" s="4"/>
      <c r="H26" s="30">
        <f>RAWDATA!J26</f>
        <v>0</v>
      </c>
      <c r="I26" s="32">
        <f>RAWDATA!G26</f>
        <v>0</v>
      </c>
      <c r="J26" s="32" t="str">
        <f t="shared" si="1"/>
        <v/>
      </c>
      <c r="K26" s="4"/>
      <c r="L26" s="22"/>
      <c r="M26" s="2"/>
      <c r="N26" s="2"/>
      <c r="O26" s="11"/>
    </row>
    <row r="27" spans="1:17" x14ac:dyDescent="0.2">
      <c r="A27" s="29">
        <f>RAWDATA!B27</f>
        <v>0</v>
      </c>
      <c r="B27" s="29">
        <f>RAWDATA!C27</f>
        <v>0</v>
      </c>
      <c r="C27" s="30">
        <f>RAWDATA!D27</f>
        <v>0</v>
      </c>
      <c r="D27" s="30">
        <f>RAWDATA!E27</f>
        <v>0</v>
      </c>
      <c r="E27" s="33">
        <f>RAWDATA!F27</f>
        <v>0</v>
      </c>
      <c r="F27" s="30" t="str">
        <f>LOOKUP(E27,{0;1;49.1;55.1;61.1;67.1;72.1;78.1;84.1;89.1;94.1;97.1},{"KP";"NB";4;3.7;3.3;3;2.7;2.3;2;1.7;1.3;1})</f>
        <v>KP</v>
      </c>
      <c r="G27" s="4"/>
      <c r="H27" s="30">
        <f>RAWDATA!J27</f>
        <v>0</v>
      </c>
      <c r="I27" s="32">
        <f>RAWDATA!G27</f>
        <v>0</v>
      </c>
      <c r="J27" s="32" t="str">
        <f t="shared" si="1"/>
        <v/>
      </c>
      <c r="K27" s="4"/>
      <c r="L27" s="22"/>
      <c r="M27" s="2"/>
      <c r="N27" s="2"/>
      <c r="O27" s="11"/>
    </row>
    <row r="28" spans="1:17" x14ac:dyDescent="0.2">
      <c r="A28" s="29">
        <f>RAWDATA!B28</f>
        <v>0</v>
      </c>
      <c r="B28" s="29">
        <f>RAWDATA!C28</f>
        <v>0</v>
      </c>
      <c r="C28" s="30">
        <f>RAWDATA!D28</f>
        <v>0</v>
      </c>
      <c r="D28" s="30">
        <f>RAWDATA!E28</f>
        <v>0</v>
      </c>
      <c r="E28" s="33">
        <f>RAWDATA!F28</f>
        <v>0</v>
      </c>
      <c r="F28" s="30" t="str">
        <f>LOOKUP(E28,{0;1;49.1;55.1;61.1;67.1;72.1;78.1;84.1;89.1;94.1;97.1},{"KP";"NB";4;3.7;3.3;3;2.7;2.3;2;1.7;1.3;1})</f>
        <v>KP</v>
      </c>
      <c r="G28" s="4"/>
      <c r="H28" s="30">
        <f>RAWDATA!J28</f>
        <v>0</v>
      </c>
      <c r="I28" s="32">
        <f>RAWDATA!G28</f>
        <v>0</v>
      </c>
      <c r="J28" s="32" t="str">
        <f t="shared" si="1"/>
        <v/>
      </c>
      <c r="K28" s="4"/>
      <c r="L28" s="22"/>
      <c r="M28" s="2"/>
      <c r="N28" s="2"/>
      <c r="O28" s="11"/>
    </row>
    <row r="29" spans="1:17" x14ac:dyDescent="0.2">
      <c r="A29" s="29">
        <f>RAWDATA!B29</f>
        <v>0</v>
      </c>
      <c r="B29" s="29">
        <f>RAWDATA!C29</f>
        <v>0</v>
      </c>
      <c r="C29" s="30">
        <f>RAWDATA!D29</f>
        <v>0</v>
      </c>
      <c r="D29" s="30">
        <f>RAWDATA!E29</f>
        <v>0</v>
      </c>
      <c r="E29" s="33">
        <f>RAWDATA!F29</f>
        <v>0</v>
      </c>
      <c r="F29" s="30" t="str">
        <f>LOOKUP(E29,{0;1;49.1;55.1;61.1;67.1;72.1;78.1;84.1;89.1;94.1;97.1},{"KP";"NB";4;3.7;3.3;3;2.7;2.3;2;1.7;1.3;1})</f>
        <v>KP</v>
      </c>
      <c r="G29" s="4"/>
      <c r="H29" s="30">
        <f>RAWDATA!J29</f>
        <v>0</v>
      </c>
      <c r="I29" s="32">
        <f>RAWDATA!G29</f>
        <v>0</v>
      </c>
      <c r="J29" s="32" t="str">
        <f t="shared" si="1"/>
        <v/>
      </c>
      <c r="K29" s="4"/>
      <c r="L29" s="22"/>
      <c r="M29" s="2"/>
      <c r="N29" s="2"/>
      <c r="O29" s="11"/>
    </row>
    <row r="30" spans="1:17" x14ac:dyDescent="0.2">
      <c r="A30" s="29">
        <f>RAWDATA!B30</f>
        <v>0</v>
      </c>
      <c r="B30" s="29">
        <f>RAWDATA!C30</f>
        <v>0</v>
      </c>
      <c r="C30" s="30">
        <f>RAWDATA!D30</f>
        <v>0</v>
      </c>
      <c r="D30" s="30">
        <f>RAWDATA!E30</f>
        <v>0</v>
      </c>
      <c r="E30" s="33">
        <f>RAWDATA!F30</f>
        <v>0</v>
      </c>
      <c r="F30" s="30" t="str">
        <f>LOOKUP(E30,{0;1;49.1;55.1;61.1;67.1;72.1;78.1;84.1;89.1;94.1;97.1},{"KP";"NB";4;3.7;3.3;3;2.7;2.3;2;1.7;1.3;1})</f>
        <v>KP</v>
      </c>
      <c r="G30" s="4"/>
      <c r="H30" s="30">
        <f>RAWDATA!J30</f>
        <v>0</v>
      </c>
      <c r="I30" s="32">
        <f>RAWDATA!G30</f>
        <v>0</v>
      </c>
      <c r="J30" s="32" t="str">
        <f t="shared" si="1"/>
        <v/>
      </c>
      <c r="K30" s="4"/>
      <c r="L30" s="22"/>
      <c r="M30" s="2"/>
      <c r="N30" s="2"/>
      <c r="O30" s="11"/>
    </row>
    <row r="31" spans="1:17" x14ac:dyDescent="0.2">
      <c r="A31" s="29">
        <f>RAWDATA!B31</f>
        <v>0</v>
      </c>
      <c r="B31" s="29">
        <f>RAWDATA!C31</f>
        <v>0</v>
      </c>
      <c r="C31" s="30">
        <f>RAWDATA!D31</f>
        <v>0</v>
      </c>
      <c r="D31" s="30">
        <f>RAWDATA!E31</f>
        <v>0</v>
      </c>
      <c r="E31" s="33">
        <f>RAWDATA!F31</f>
        <v>0</v>
      </c>
      <c r="F31" s="30" t="str">
        <f>LOOKUP(E31,{0;1;49.1;55.1;61.1;67.1;72.1;78.1;84.1;89.1;94.1;97.1},{"KP";"NB";4;3.7;3.3;3;2.7;2.3;2;1.7;1.3;1})</f>
        <v>KP</v>
      </c>
      <c r="G31" s="4"/>
      <c r="H31" s="30">
        <f>RAWDATA!J31</f>
        <v>0</v>
      </c>
      <c r="I31" s="32">
        <f>RAWDATA!G31</f>
        <v>0</v>
      </c>
      <c r="J31" s="32" t="str">
        <f t="shared" si="1"/>
        <v/>
      </c>
      <c r="K31" s="4"/>
      <c r="L31" s="22"/>
      <c r="M31" s="2"/>
      <c r="N31" s="2"/>
      <c r="O31" s="11"/>
    </row>
    <row r="32" spans="1:17" x14ac:dyDescent="0.2">
      <c r="A32" s="29">
        <f>RAWDATA!B32</f>
        <v>0</v>
      </c>
      <c r="B32" s="29">
        <f>RAWDATA!C32</f>
        <v>0</v>
      </c>
      <c r="C32" s="30">
        <f>RAWDATA!D32</f>
        <v>0</v>
      </c>
      <c r="D32" s="30">
        <f>RAWDATA!E32</f>
        <v>0</v>
      </c>
      <c r="E32" s="33">
        <f>RAWDATA!F32</f>
        <v>0</v>
      </c>
      <c r="F32" s="30" t="str">
        <f>LOOKUP(E32,{0;1;49.1;55.1;61.1;67.1;72.1;78.1;84.1;89.1;94.1;97.1},{"KP";"NB";4;3.7;3.3;3;2.7;2.3;2;1.7;1.3;1})</f>
        <v>KP</v>
      </c>
      <c r="G32" s="4"/>
      <c r="H32" s="30">
        <f>RAWDATA!J32</f>
        <v>0</v>
      </c>
      <c r="I32" s="32">
        <f>RAWDATA!G32</f>
        <v>0</v>
      </c>
      <c r="J32" s="32" t="str">
        <f t="shared" si="1"/>
        <v/>
      </c>
      <c r="K32" s="4"/>
      <c r="L32" s="22"/>
      <c r="M32" s="2"/>
      <c r="N32" s="2"/>
      <c r="O32" s="11"/>
    </row>
    <row r="33" spans="1:17" x14ac:dyDescent="0.2">
      <c r="A33" s="29">
        <f>RAWDATA!B33</f>
        <v>0</v>
      </c>
      <c r="B33" s="29">
        <f>RAWDATA!C33</f>
        <v>0</v>
      </c>
      <c r="C33" s="30">
        <f>RAWDATA!D33</f>
        <v>0</v>
      </c>
      <c r="D33" s="30">
        <f>RAWDATA!E33</f>
        <v>0</v>
      </c>
      <c r="E33" s="33">
        <f>RAWDATA!F33</f>
        <v>0</v>
      </c>
      <c r="F33" s="30" t="str">
        <f>LOOKUP(E33,{0;1;49.1;55.1;61.1;67.1;72.1;78.1;84.1;89.1;94.1;97.1},{"KP";"NB";4;3.7;3.3;3;2.7;2.3;2;1.7;1.3;1})</f>
        <v>KP</v>
      </c>
      <c r="G33" s="4"/>
      <c r="H33" s="30">
        <f>RAWDATA!J33</f>
        <v>0</v>
      </c>
      <c r="I33" s="32">
        <f>RAWDATA!G33</f>
        <v>0</v>
      </c>
      <c r="J33" s="32" t="str">
        <f t="shared" si="1"/>
        <v/>
      </c>
      <c r="K33" s="4"/>
      <c r="L33" s="22"/>
      <c r="M33" s="2"/>
      <c r="N33" s="2"/>
      <c r="O33" s="11"/>
    </row>
    <row r="34" spans="1:17" x14ac:dyDescent="0.2">
      <c r="A34" s="29">
        <f>RAWDATA!B34</f>
        <v>0</v>
      </c>
      <c r="B34" s="29">
        <f>RAWDATA!C34</f>
        <v>0</v>
      </c>
      <c r="C34" s="30">
        <f>RAWDATA!D34</f>
        <v>0</v>
      </c>
      <c r="D34" s="30">
        <f>RAWDATA!E34</f>
        <v>0</v>
      </c>
      <c r="E34" s="33">
        <f>RAWDATA!F34</f>
        <v>0</v>
      </c>
      <c r="F34" s="30" t="str">
        <f>LOOKUP(E34,{0;1;49.1;55.1;61.1;67.1;72.1;78.1;84.1;89.1;94.1;97.1},{"KP";"NB";4;3.7;3.3;3;2.7;2.3;2;1.7;1.3;1})</f>
        <v>KP</v>
      </c>
      <c r="G34" s="4"/>
      <c r="H34" s="30">
        <f>RAWDATA!J34</f>
        <v>0</v>
      </c>
      <c r="I34" s="32">
        <f>RAWDATA!G34</f>
        <v>0</v>
      </c>
      <c r="J34" s="32" t="str">
        <f t="shared" si="1"/>
        <v/>
      </c>
      <c r="K34" s="4"/>
      <c r="L34" s="22"/>
      <c r="M34" s="2"/>
      <c r="N34" s="2"/>
      <c r="O34" s="11"/>
    </row>
    <row r="35" spans="1:17" x14ac:dyDescent="0.2">
      <c r="A35" s="29">
        <f>RAWDATA!B35</f>
        <v>0</v>
      </c>
      <c r="B35" s="29">
        <f>RAWDATA!C35</f>
        <v>0</v>
      </c>
      <c r="C35" s="30">
        <f>RAWDATA!D35</f>
        <v>0</v>
      </c>
      <c r="D35" s="30">
        <f>RAWDATA!E35</f>
        <v>0</v>
      </c>
      <c r="E35" s="33">
        <f>RAWDATA!F35</f>
        <v>0</v>
      </c>
      <c r="F35" s="30" t="str">
        <f>LOOKUP(E35,{0;1;49.1;55.1;61.1;67.1;72.1;78.1;84.1;89.1;94.1;97.1},{"KP";"NB";4;3.7;3.3;3;2.7;2.3;2;1.7;1.3;1})</f>
        <v>KP</v>
      </c>
      <c r="G35" s="4"/>
      <c r="H35" s="30">
        <f>RAWDATA!J35</f>
        <v>0</v>
      </c>
      <c r="I35" s="32">
        <f>RAWDATA!G35</f>
        <v>0</v>
      </c>
      <c r="J35" s="32" t="str">
        <f t="shared" si="1"/>
        <v/>
      </c>
      <c r="K35" s="4"/>
      <c r="L35" s="22"/>
      <c r="M35" s="2">
        <f t="shared" si="2"/>
        <v>0</v>
      </c>
      <c r="N35" s="2">
        <f t="shared" si="3"/>
        <v>0</v>
      </c>
      <c r="O35" s="11">
        <f t="shared" si="4"/>
        <v>0</v>
      </c>
      <c r="P35" s="1">
        <f t="shared" si="5"/>
        <v>0</v>
      </c>
      <c r="Q35" s="1">
        <f t="shared" si="6"/>
        <v>0</v>
      </c>
    </row>
    <row r="36" spans="1:17" x14ac:dyDescent="0.2">
      <c r="A36" s="29">
        <f>RAWDATA!B36</f>
        <v>0</v>
      </c>
      <c r="B36" s="29">
        <f>RAWDATA!C36</f>
        <v>0</v>
      </c>
      <c r="C36" s="30">
        <f>RAWDATA!D36</f>
        <v>0</v>
      </c>
      <c r="D36" s="30">
        <f>RAWDATA!E36</f>
        <v>0</v>
      </c>
      <c r="E36" s="33">
        <f>RAWDATA!F36</f>
        <v>0</v>
      </c>
      <c r="F36" s="30" t="str">
        <f>LOOKUP(E36,{0;1;49.1;55.1;61.1;67.1;72.1;78.1;84.1;89.1;94.1;97.1},{"KP";"NB";4;3.7;3.3;3;2.7;2.3;2;1.7;1.3;1})</f>
        <v>KP</v>
      </c>
      <c r="G36" s="4"/>
      <c r="H36" s="30">
        <f>RAWDATA!J36</f>
        <v>0</v>
      </c>
      <c r="I36" s="32">
        <f>RAWDATA!G36</f>
        <v>0</v>
      </c>
      <c r="J36" s="32" t="str">
        <f t="shared" si="1"/>
        <v/>
      </c>
      <c r="K36" s="4"/>
      <c r="L36" s="22"/>
      <c r="M36" s="2">
        <f t="shared" si="2"/>
        <v>0</v>
      </c>
      <c r="N36" s="2">
        <f t="shared" si="3"/>
        <v>0</v>
      </c>
      <c r="O36" s="11">
        <f t="shared" si="4"/>
        <v>0</v>
      </c>
      <c r="P36" s="1">
        <f t="shared" si="5"/>
        <v>0</v>
      </c>
      <c r="Q36" s="1">
        <f t="shared" si="6"/>
        <v>0</v>
      </c>
    </row>
    <row r="37" spans="1:17" x14ac:dyDescent="0.2">
      <c r="A37" s="4"/>
      <c r="B37" s="4" t="s">
        <v>10</v>
      </c>
      <c r="C37" s="6"/>
      <c r="D37" s="6"/>
      <c r="E37" s="9">
        <v>100</v>
      </c>
      <c r="F37" s="4"/>
      <c r="G37" s="4"/>
      <c r="H37" s="4"/>
      <c r="I37" s="5"/>
      <c r="J37" s="5"/>
      <c r="K37" s="4"/>
      <c r="L37" s="22"/>
    </row>
    <row r="38" spans="1:17" x14ac:dyDescent="0.2">
      <c r="B38" s="1" t="s">
        <v>25</v>
      </c>
      <c r="F38" s="11" t="e">
        <f t="array" ref="F38">AVERAGE(IF(ISNUMBER(F2:F36),F2:F36))</f>
        <v>#DIV/0!</v>
      </c>
      <c r="G38" s="4"/>
      <c r="H38" s="4"/>
      <c r="I38" s="5"/>
      <c r="J38" s="5"/>
      <c r="K38" s="4"/>
      <c r="L38" s="22"/>
    </row>
    <row r="39" spans="1:17" x14ac:dyDescent="0.2">
      <c r="A39" s="4"/>
      <c r="B39" s="4" t="s">
        <v>11</v>
      </c>
      <c r="C39" s="6"/>
      <c r="D39" s="6"/>
      <c r="E39" s="9"/>
      <c r="F39" s="5" t="e">
        <f>ROUNDUP(STDEVP(F2:F18),1)</f>
        <v>#N/A</v>
      </c>
      <c r="G39" s="4"/>
      <c r="H39" s="4"/>
      <c r="I39" s="5"/>
      <c r="J39" s="5"/>
      <c r="K39" s="4"/>
      <c r="L39" s="22"/>
    </row>
    <row r="40" spans="1:17" x14ac:dyDescent="0.2">
      <c r="A40" s="22"/>
      <c r="B40" s="22"/>
      <c r="C40" s="23"/>
      <c r="D40" s="23"/>
      <c r="E40" s="24"/>
      <c r="F40" s="22"/>
      <c r="G40" s="22"/>
      <c r="H40" s="22"/>
      <c r="I40" s="25"/>
      <c r="J40" s="25"/>
      <c r="K40" s="22"/>
      <c r="L40" s="22"/>
    </row>
    <row r="41" spans="1:17" ht="12.75" customHeight="1" x14ac:dyDescent="0.2">
      <c r="A41" s="4" t="s">
        <v>14</v>
      </c>
      <c r="B41" s="10" t="s">
        <v>62</v>
      </c>
      <c r="C41" s="23"/>
      <c r="D41" s="66" t="s">
        <v>32</v>
      </c>
      <c r="E41" s="66"/>
      <c r="F41" s="66"/>
      <c r="G41" s="66"/>
      <c r="H41" s="65"/>
      <c r="I41" s="25"/>
      <c r="J41" s="25"/>
      <c r="K41" s="31"/>
      <c r="L41" s="22"/>
    </row>
    <row r="42" spans="1:17" x14ac:dyDescent="0.2">
      <c r="A42" s="4" t="s">
        <v>15</v>
      </c>
      <c r="B42" s="34" t="s">
        <v>55</v>
      </c>
      <c r="C42" s="23"/>
      <c r="D42" s="66"/>
      <c r="E42" s="66"/>
      <c r="F42" s="66"/>
      <c r="G42" s="66"/>
      <c r="H42" s="65"/>
      <c r="I42" s="25"/>
      <c r="J42" s="25"/>
      <c r="K42" s="31"/>
      <c r="L42" s="22"/>
    </row>
    <row r="43" spans="1:17" x14ac:dyDescent="0.2">
      <c r="A43" s="4" t="s">
        <v>16</v>
      </c>
      <c r="B43" s="34" t="s">
        <v>57</v>
      </c>
      <c r="C43" s="23"/>
      <c r="D43" s="66"/>
      <c r="E43" s="66"/>
      <c r="F43" s="66"/>
      <c r="G43" s="66"/>
      <c r="H43" s="65"/>
      <c r="I43" s="25"/>
      <c r="J43" s="25"/>
      <c r="K43" s="31"/>
      <c r="L43" s="22"/>
    </row>
    <row r="44" spans="1:17" x14ac:dyDescent="0.2">
      <c r="A44" s="4" t="s">
        <v>17</v>
      </c>
      <c r="B44" s="10" t="s">
        <v>59</v>
      </c>
      <c r="C44" s="23"/>
      <c r="D44" s="66"/>
      <c r="E44" s="66"/>
      <c r="F44" s="66"/>
      <c r="G44" s="66"/>
      <c r="H44" s="65"/>
      <c r="I44" s="25"/>
      <c r="J44" s="25"/>
      <c r="K44" s="31"/>
      <c r="L44" s="22"/>
    </row>
    <row r="45" spans="1:17" x14ac:dyDescent="0.2">
      <c r="A45" s="4" t="s">
        <v>39</v>
      </c>
      <c r="B45" s="10" t="s">
        <v>61</v>
      </c>
      <c r="C45" s="23"/>
      <c r="D45" s="66"/>
      <c r="E45" s="66"/>
      <c r="F45" s="66"/>
      <c r="G45" s="66"/>
      <c r="H45" s="65"/>
      <c r="I45" s="25"/>
      <c r="J45" s="25"/>
      <c r="K45" s="31"/>
      <c r="L45" s="22"/>
    </row>
    <row r="46" spans="1:17" x14ac:dyDescent="0.2">
      <c r="A46" s="4" t="s">
        <v>47</v>
      </c>
      <c r="B46" s="10" t="s">
        <v>60</v>
      </c>
      <c r="C46" s="23"/>
      <c r="D46" s="66"/>
      <c r="E46" s="66"/>
      <c r="F46" s="66"/>
      <c r="G46" s="66"/>
      <c r="H46" s="65"/>
      <c r="I46" s="25"/>
      <c r="J46" s="25"/>
      <c r="K46" s="31"/>
      <c r="L46" s="22"/>
    </row>
    <row r="47" spans="1:17" x14ac:dyDescent="0.2">
      <c r="A47" s="4" t="s">
        <v>31</v>
      </c>
      <c r="B47" s="10" t="s">
        <v>56</v>
      </c>
      <c r="C47" s="23"/>
      <c r="D47" s="66"/>
      <c r="E47" s="66"/>
      <c r="F47" s="66"/>
      <c r="G47" s="66"/>
      <c r="H47" s="65"/>
      <c r="I47" s="25"/>
      <c r="J47" s="25"/>
      <c r="K47" s="31"/>
      <c r="L47" s="22"/>
    </row>
    <row r="48" spans="1:17" x14ac:dyDescent="0.2">
      <c r="A48" s="4" t="s">
        <v>40</v>
      </c>
      <c r="B48" s="57" t="s">
        <v>58</v>
      </c>
      <c r="C48" s="23"/>
      <c r="D48" s="66"/>
      <c r="E48" s="66"/>
      <c r="F48" s="66"/>
      <c r="G48" s="66"/>
      <c r="H48" s="65"/>
      <c r="I48" s="25"/>
      <c r="J48" s="25"/>
      <c r="K48" s="22"/>
      <c r="L48" s="22"/>
    </row>
    <row r="52" spans="1:1" hidden="1" x14ac:dyDescent="0.2">
      <c r="A52" s="50"/>
    </row>
    <row r="53" spans="1:1" hidden="1" x14ac:dyDescent="0.2">
      <c r="A53" s="50"/>
    </row>
    <row r="54" spans="1:1" hidden="1" x14ac:dyDescent="0.2">
      <c r="A54" s="50"/>
    </row>
    <row r="55" spans="1:1" hidden="1" x14ac:dyDescent="0.2">
      <c r="A55" s="50"/>
    </row>
    <row r="56" spans="1:1" hidden="1" x14ac:dyDescent="0.2">
      <c r="A56" s="50"/>
    </row>
    <row r="57" spans="1:1" hidden="1" x14ac:dyDescent="0.2">
      <c r="A57" s="50"/>
    </row>
    <row r="58" spans="1:1" hidden="1" x14ac:dyDescent="0.2">
      <c r="A58" s="50"/>
    </row>
    <row r="59" spans="1:1" hidden="1" x14ac:dyDescent="0.2">
      <c r="A59" s="50"/>
    </row>
    <row r="63" spans="1:1" hidden="1" x14ac:dyDescent="0.2">
      <c r="A63" s="50"/>
    </row>
    <row r="64" spans="1:1" hidden="1" x14ac:dyDescent="0.2">
      <c r="A64" s="50"/>
    </row>
    <row r="65" spans="1:1" hidden="1" x14ac:dyDescent="0.2">
      <c r="A65" s="50"/>
    </row>
    <row r="66" spans="1:1" hidden="1" x14ac:dyDescent="0.2">
      <c r="A66" s="50"/>
    </row>
    <row r="67" spans="1:1" hidden="1" x14ac:dyDescent="0.2">
      <c r="A67" s="50"/>
    </row>
    <row r="68" spans="1:1" hidden="1" x14ac:dyDescent="0.2">
      <c r="A68" s="50"/>
    </row>
    <row r="69" spans="1:1" hidden="1" x14ac:dyDescent="0.2">
      <c r="A69" s="50"/>
    </row>
    <row r="70" spans="1:1" hidden="1" x14ac:dyDescent="0.2">
      <c r="A70" s="50"/>
    </row>
    <row r="71" spans="1:1" x14ac:dyDescent="0.2"/>
  </sheetData>
  <sheetProtection sheet="1" formatColumns="0" selectLockedCells="1"/>
  <dataConsolidate/>
  <mergeCells count="1">
    <mergeCell ref="D41:G48"/>
  </mergeCells>
  <dataValidations disablePrompts="1" count="1">
    <dataValidation errorStyle="information" allowBlank="1" showErrorMessage="1" errorTitle="Inkorrekte Semesterangabe" error="Bitte wählen Sie aus der Dropdown-Liste aus._x000a__x000a_Ihre Eingabe wird nicht automatisch korrigiert." promptTitle="Semester" prompt="Bitte geben Sie das entsprechende Semester an. Wählen Sie aus der Dropdown-Liste." sqref="B47"/>
  </dataValidations>
  <pageMargins left="0.78740157480314965" right="0.78740157480314965" top="1.2598425196850394" bottom="1.0629921259842521" header="0.59055118110236227" footer="0.78740157480314965"/>
  <pageSetup paperSize="9" scale="82" firstPageNumber="0" orientation="landscape" horizontalDpi="300" verticalDpi="300" r:id="rId1"/>
  <headerFooter scaleWithDoc="0" alignWithMargins="0">
    <oddHeader>&amp;L&amp;G&amp;C&amp;"Arial,Fett"&amp;14&amp;A&amp;R&amp;"Arial Black,Standard"&amp;28SpZ</oddHeader>
    <oddFooter>&amp;C&amp;"Arial,Standard"&amp;12Seite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H13"/>
  <sheetViews>
    <sheetView workbookViewId="0">
      <selection activeCell="A39" sqref="A39:XFD39"/>
    </sheetView>
  </sheetViews>
  <sheetFormatPr baseColWidth="10" defaultColWidth="0" defaultRowHeight="15" zeroHeight="1" x14ac:dyDescent="0.25"/>
  <cols>
    <col min="1" max="1" width="11.42578125" customWidth="1"/>
    <col min="2" max="2" width="11.42578125" style="7" customWidth="1"/>
    <col min="3" max="8" width="11.42578125" customWidth="1"/>
    <col min="9" max="16384" width="11.42578125" hidden="1"/>
  </cols>
  <sheetData>
    <row r="1" spans="1:4" x14ac:dyDescent="0.25">
      <c r="A1" s="67" t="str">
        <f>Notenliste!B44</f>
        <v>course.name</v>
      </c>
      <c r="B1" s="67"/>
      <c r="C1" s="8" t="s">
        <v>13</v>
      </c>
      <c r="D1" s="13" t="e">
        <f>Notenliste!F38</f>
        <v>#DIV/0!</v>
      </c>
    </row>
    <row r="2" spans="1:4" x14ac:dyDescent="0.25">
      <c r="A2" s="7" t="s">
        <v>4</v>
      </c>
      <c r="B2" s="7" t="s">
        <v>12</v>
      </c>
    </row>
    <row r="3" spans="1:4" x14ac:dyDescent="0.25">
      <c r="A3" s="7">
        <v>1</v>
      </c>
      <c r="B3" s="7">
        <f>COUNTIF(Notenliste!$F$2:$F$36,A3)</f>
        <v>0</v>
      </c>
    </row>
    <row r="4" spans="1:4" x14ac:dyDescent="0.25">
      <c r="A4" s="7">
        <v>1.3</v>
      </c>
      <c r="B4" s="7">
        <f>COUNTIF(Notenliste!$F$2:$F$36,A4)</f>
        <v>0</v>
      </c>
    </row>
    <row r="5" spans="1:4" x14ac:dyDescent="0.25">
      <c r="A5" s="7">
        <v>1.7</v>
      </c>
      <c r="B5" s="7">
        <f>COUNTIF(Notenliste!$F$2:$F$36,A5)</f>
        <v>0</v>
      </c>
    </row>
    <row r="6" spans="1:4" x14ac:dyDescent="0.25">
      <c r="A6" s="7">
        <v>2</v>
      </c>
      <c r="B6" s="7">
        <f>COUNTIF(Notenliste!$F$2:$F$36,A6)</f>
        <v>0</v>
      </c>
    </row>
    <row r="7" spans="1:4" x14ac:dyDescent="0.25">
      <c r="A7" s="7">
        <v>2.2999999999999998</v>
      </c>
      <c r="B7" s="7">
        <f>COUNTIF(Notenliste!$F$2:$F$36,A7)</f>
        <v>0</v>
      </c>
    </row>
    <row r="8" spans="1:4" x14ac:dyDescent="0.25">
      <c r="A8" s="7">
        <v>2.7</v>
      </c>
      <c r="B8" s="7">
        <f>COUNTIF(Notenliste!$F$2:$F$36,A8)</f>
        <v>0</v>
      </c>
    </row>
    <row r="9" spans="1:4" x14ac:dyDescent="0.25">
      <c r="A9" s="7">
        <v>3</v>
      </c>
      <c r="B9" s="7">
        <f>COUNTIF(Notenliste!$F$2:$F$36,A9)</f>
        <v>0</v>
      </c>
    </row>
    <row r="10" spans="1:4" x14ac:dyDescent="0.25">
      <c r="A10" s="7">
        <v>3.3</v>
      </c>
      <c r="B10" s="7">
        <f>COUNTIF(Notenliste!$F$2:$F$36,A10)</f>
        <v>0</v>
      </c>
    </row>
    <row r="11" spans="1:4" x14ac:dyDescent="0.25">
      <c r="A11" s="7">
        <v>3.7</v>
      </c>
      <c r="B11" s="7">
        <f>COUNTIF(Notenliste!$F$2:$F$36,A11)</f>
        <v>0</v>
      </c>
    </row>
    <row r="12" spans="1:4" x14ac:dyDescent="0.25">
      <c r="A12" s="7">
        <v>4</v>
      </c>
      <c r="B12" s="7">
        <f>COUNTIF(Notenliste!$F$2:$F$36,A12)</f>
        <v>0</v>
      </c>
    </row>
    <row r="13" spans="1:4" x14ac:dyDescent="0.25">
      <c r="A13" s="7" t="s">
        <v>30</v>
      </c>
      <c r="B13" s="7">
        <f>COUNTIF(Notenliste!$F$2:$F$36,A13)</f>
        <v>0</v>
      </c>
    </row>
  </sheetData>
  <sheetProtection sheet="1" scenarios="1" selectLockedCells="1" selectUnlockedCells="1"/>
  <mergeCells count="1">
    <mergeCell ref="A1:B1"/>
  </mergeCells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P44"/>
  <sheetViews>
    <sheetView showZeros="0" topLeftCell="C1" zoomScaleNormal="100" workbookViewId="0">
      <selection activeCell="J19" sqref="J19"/>
    </sheetView>
  </sheetViews>
  <sheetFormatPr baseColWidth="10" defaultColWidth="0" defaultRowHeight="15" zeroHeight="1" x14ac:dyDescent="0.25"/>
  <cols>
    <col min="1" max="1" width="3.7109375" style="7" bestFit="1" customWidth="1"/>
    <col min="2" max="3" width="30.7109375" customWidth="1"/>
    <col min="4" max="5" width="10.7109375" style="20" customWidth="1"/>
    <col min="6" max="6" width="39.28515625" customWidth="1"/>
    <col min="7" max="7" width="30.7109375" customWidth="1"/>
    <col min="8" max="8" width="10.7109375" hidden="1" customWidth="1"/>
    <col min="9" max="9" width="9.140625" hidden="1" customWidth="1"/>
    <col min="10" max="10" width="7.7109375" style="7" customWidth="1"/>
    <col min="11" max="11" width="7.85546875" style="7" customWidth="1"/>
    <col min="12" max="12" width="9.7109375" style="7" customWidth="1"/>
    <col min="13" max="13" width="8.7109375" style="7" customWidth="1"/>
    <col min="14" max="14" width="1.7109375" customWidth="1"/>
    <col min="17" max="16384" width="11.42578125" hidden="1"/>
  </cols>
  <sheetData>
    <row r="1" spans="1:13" s="55" customFormat="1" ht="39.950000000000003" customHeight="1" x14ac:dyDescent="0.25">
      <c r="A1" s="68" t="str">
        <f>Notenliste!B44&amp;Notenliste!B45</f>
        <v>course.namecourse.alternative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55" customFormat="1" ht="30" customHeight="1" x14ac:dyDescent="0.25">
      <c r="A2" s="69" t="str">
        <f>"Dozent/in: "&amp;Notenliste!B41</f>
        <v>Dozent/in: course.teacher_name</v>
      </c>
      <c r="B2" s="69"/>
      <c r="C2" s="69"/>
      <c r="D2" s="69"/>
      <c r="E2" s="69"/>
      <c r="F2" s="70" t="str">
        <f>"Semster: "&amp;Notenliste!B47</f>
        <v>Semster: semester</v>
      </c>
      <c r="G2" s="70"/>
      <c r="H2" s="70"/>
      <c r="I2" s="70"/>
      <c r="J2" s="70"/>
      <c r="K2" s="70"/>
      <c r="L2" s="70"/>
      <c r="M2" s="70"/>
    </row>
    <row r="3" spans="1:13" s="56" customFormat="1" ht="60" customHeight="1" x14ac:dyDescent="0.25">
      <c r="A3" s="14" t="s">
        <v>26</v>
      </c>
      <c r="B3" s="15" t="s">
        <v>18</v>
      </c>
      <c r="C3" s="15" t="s">
        <v>19</v>
      </c>
      <c r="D3" s="14" t="s">
        <v>33</v>
      </c>
      <c r="E3" s="14" t="s">
        <v>29</v>
      </c>
      <c r="F3" s="15" t="s">
        <v>20</v>
      </c>
      <c r="G3" s="15" t="s">
        <v>21</v>
      </c>
      <c r="H3" s="14" t="s">
        <v>22</v>
      </c>
      <c r="I3" s="14" t="s">
        <v>23</v>
      </c>
      <c r="J3" s="21" t="s">
        <v>72</v>
      </c>
      <c r="K3" s="21" t="s">
        <v>35</v>
      </c>
      <c r="L3" s="21" t="s">
        <v>4</v>
      </c>
      <c r="M3" s="21" t="s">
        <v>24</v>
      </c>
    </row>
    <row r="4" spans="1:13" s="55" customFormat="1" x14ac:dyDescent="0.25">
      <c r="A4" s="17">
        <v>1</v>
      </c>
      <c r="B4" s="18" t="str">
        <f>RAWDATA!B2</f>
        <v>applicant.last_name</v>
      </c>
      <c r="C4" s="18" t="str">
        <f>RAWDATA!C2</f>
        <v>applicant.first_name</v>
      </c>
      <c r="D4" s="19" t="str">
        <f>RAWDATA!D2</f>
        <v>applicant.origin.short_name</v>
      </c>
      <c r="E4" s="19" t="str">
        <f>RAWDATA!E2</f>
        <v>applicant.tag</v>
      </c>
      <c r="F4" s="18" t="str">
        <f>RAWDATA!H2</f>
        <v>applicant.mail</v>
      </c>
      <c r="G4" s="18" t="str">
        <f>RAWDATA!I2</f>
        <v>applicant.phone</v>
      </c>
      <c r="H4" s="19" t="str">
        <f>RAWDATA!M2</f>
        <v>Arabisch 1</v>
      </c>
      <c r="I4" s="19">
        <f>RAWDATA!N2</f>
        <v>0</v>
      </c>
      <c r="J4" s="17" t="e">
        <f>IF(AND(B4=0,E4=0)," ",IF(Notenliste!F2="KP","",Notenliste!I2))</f>
        <v>#N/A</v>
      </c>
      <c r="K4" s="17" t="e">
        <f>IF(OR(L4&lt;=4, L4="bestanden"),"X","")</f>
        <v>#N/A</v>
      </c>
      <c r="L4" s="17" t="e">
        <f>IF(AND(B4=0,E4=0),"",IF(Notenliste!F2="KP","",IF(OR(Notenliste!H2="x", Notenliste!H2="X"), "bestanden",Notenliste!F2)))</f>
        <v>#N/A</v>
      </c>
      <c r="M4" s="17" t="str">
        <f>IF(AND(B4=0,E4=0)," ",Notenliste!E2)</f>
        <v>attendance.sanitized_grade</v>
      </c>
    </row>
    <row r="5" spans="1:13" s="55" customFormat="1" x14ac:dyDescent="0.25">
      <c r="A5" s="17">
        <v>2</v>
      </c>
      <c r="B5" s="18">
        <f>RAWDATA!B3</f>
        <v>0</v>
      </c>
      <c r="C5" s="18">
        <f>RAWDATA!C3</f>
        <v>0</v>
      </c>
      <c r="D5" s="19">
        <f>RAWDATA!D3</f>
        <v>0</v>
      </c>
      <c r="E5" s="19">
        <f>RAWDATA!E3</f>
        <v>0</v>
      </c>
      <c r="F5" s="18">
        <f>RAWDATA!H3</f>
        <v>0</v>
      </c>
      <c r="G5" s="18">
        <f>RAWDATA!I3</f>
        <v>0</v>
      </c>
      <c r="H5" s="19" t="str">
        <f>RAWDATA!M3</f>
        <v>Arabisch 1</v>
      </c>
      <c r="I5" s="19">
        <f>RAWDATA!N3</f>
        <v>0</v>
      </c>
      <c r="J5" s="17" t="str">
        <f>IF(AND(B5=0,E5=0)," ",IF(Notenliste!F3="KP","",Notenliste!I3))</f>
        <v xml:space="preserve"> </v>
      </c>
      <c r="K5" s="17" t="str">
        <f t="shared" ref="K5:K38" si="0">IF(OR(L5&lt;=4, L5="bestanden"),"X","")</f>
        <v/>
      </c>
      <c r="L5" s="17" t="str">
        <f>IF(AND(B5=0,E5=0),"",IF(Notenliste!F3="KP","",IF(OR(Notenliste!H3="x", Notenliste!H3="X"), "bestanden",Notenliste!F3)))</f>
        <v/>
      </c>
      <c r="M5" s="17" t="str">
        <f>IF(AND(B5=0,E5=0)," ",Notenliste!E3)</f>
        <v xml:space="preserve"> </v>
      </c>
    </row>
    <row r="6" spans="1:13" s="55" customFormat="1" x14ac:dyDescent="0.25">
      <c r="A6" s="17">
        <v>3</v>
      </c>
      <c r="B6" s="18">
        <f>RAWDATA!B4</f>
        <v>0</v>
      </c>
      <c r="C6" s="18">
        <f>RAWDATA!C4</f>
        <v>0</v>
      </c>
      <c r="D6" s="19">
        <f>RAWDATA!D4</f>
        <v>0</v>
      </c>
      <c r="E6" s="19">
        <f>RAWDATA!E4</f>
        <v>0</v>
      </c>
      <c r="F6" s="18">
        <f>RAWDATA!H4</f>
        <v>0</v>
      </c>
      <c r="G6" s="18">
        <f>RAWDATA!I4</f>
        <v>0</v>
      </c>
      <c r="H6" s="19" t="str">
        <f>RAWDATA!M4</f>
        <v>Arabisch 1</v>
      </c>
      <c r="I6" s="19">
        <f>RAWDATA!N4</f>
        <v>0</v>
      </c>
      <c r="J6" s="17" t="str">
        <f>IF(AND(B6=0,E6=0)," ",IF(Notenliste!F4="KP","",Notenliste!I4))</f>
        <v xml:space="preserve"> </v>
      </c>
      <c r="K6" s="17" t="str">
        <f t="shared" si="0"/>
        <v/>
      </c>
      <c r="L6" s="17" t="str">
        <f>IF(AND(B6=0,E6=0),"",IF(Notenliste!F4="KP","",IF(OR(Notenliste!H4="x", Notenliste!H4="X"), "bestanden",Notenliste!F4)))</f>
        <v/>
      </c>
      <c r="M6" s="17" t="str">
        <f>IF(AND(B6=0,E6=0)," ",Notenliste!E4)</f>
        <v xml:space="preserve"> </v>
      </c>
    </row>
    <row r="7" spans="1:13" s="55" customFormat="1" x14ac:dyDescent="0.25">
      <c r="A7" s="17">
        <v>4</v>
      </c>
      <c r="B7" s="18">
        <f>RAWDATA!B5</f>
        <v>0</v>
      </c>
      <c r="C7" s="18">
        <f>RAWDATA!C5</f>
        <v>0</v>
      </c>
      <c r="D7" s="19">
        <f>RAWDATA!D5</f>
        <v>0</v>
      </c>
      <c r="E7" s="19">
        <f>RAWDATA!E5</f>
        <v>0</v>
      </c>
      <c r="F7" s="18">
        <f>RAWDATA!H5</f>
        <v>0</v>
      </c>
      <c r="G7" s="18">
        <f>RAWDATA!I5</f>
        <v>0</v>
      </c>
      <c r="H7" s="19" t="str">
        <f>RAWDATA!M5</f>
        <v>Arabisch 1</v>
      </c>
      <c r="I7" s="19">
        <f>RAWDATA!N5</f>
        <v>0</v>
      </c>
      <c r="J7" s="17" t="str">
        <f>IF(AND(B7=0,E7=0)," ",IF(Notenliste!F5="KP","",Notenliste!I5))</f>
        <v xml:space="preserve"> </v>
      </c>
      <c r="K7" s="17" t="str">
        <f t="shared" si="0"/>
        <v/>
      </c>
      <c r="L7" s="17" t="str">
        <f>IF(AND(B7=0,E7=0),"",IF(Notenliste!F5="KP","",IF(OR(Notenliste!H5="x", Notenliste!H5="X"), "bestanden",Notenliste!F5)))</f>
        <v/>
      </c>
      <c r="M7" s="17" t="str">
        <f>IF(AND(B7=0,E7=0)," ",Notenliste!E5)</f>
        <v xml:space="preserve"> </v>
      </c>
    </row>
    <row r="8" spans="1:13" s="55" customFormat="1" x14ac:dyDescent="0.25">
      <c r="A8" s="17">
        <v>5</v>
      </c>
      <c r="B8" s="18">
        <f>RAWDATA!B6</f>
        <v>0</v>
      </c>
      <c r="C8" s="18">
        <f>RAWDATA!C6</f>
        <v>0</v>
      </c>
      <c r="D8" s="19">
        <f>RAWDATA!D6</f>
        <v>0</v>
      </c>
      <c r="E8" s="19">
        <f>RAWDATA!E6</f>
        <v>0</v>
      </c>
      <c r="F8" s="18">
        <f>RAWDATA!H6</f>
        <v>0</v>
      </c>
      <c r="G8" s="18">
        <f>RAWDATA!I6</f>
        <v>0</v>
      </c>
      <c r="H8" s="19" t="str">
        <f>RAWDATA!M6</f>
        <v>Arabisch 1</v>
      </c>
      <c r="I8" s="19">
        <f>RAWDATA!N6</f>
        <v>0</v>
      </c>
      <c r="J8" s="17" t="str">
        <f>IF(AND(B8=0,E8=0)," ",IF(Notenliste!F6="KP","",Notenliste!I6))</f>
        <v xml:space="preserve"> </v>
      </c>
      <c r="K8" s="17" t="str">
        <f t="shared" si="0"/>
        <v/>
      </c>
      <c r="L8" s="17" t="str">
        <f>IF(AND(B8=0,E8=0),"",IF(Notenliste!F6="KP","",IF(OR(Notenliste!H6="x", Notenliste!H6="X"), "bestanden",Notenliste!F6)))</f>
        <v/>
      </c>
      <c r="M8" s="17" t="str">
        <f>IF(AND(B8=0,E8=0)," ",Notenliste!E6)</f>
        <v xml:space="preserve"> </v>
      </c>
    </row>
    <row r="9" spans="1:13" s="55" customFormat="1" x14ac:dyDescent="0.25">
      <c r="A9" s="17">
        <v>6</v>
      </c>
      <c r="B9" s="18">
        <f>RAWDATA!B7</f>
        <v>0</v>
      </c>
      <c r="C9" s="18">
        <f>RAWDATA!C7</f>
        <v>0</v>
      </c>
      <c r="D9" s="19">
        <f>RAWDATA!D7</f>
        <v>0</v>
      </c>
      <c r="E9" s="19">
        <f>RAWDATA!E7</f>
        <v>0</v>
      </c>
      <c r="F9" s="18">
        <f>RAWDATA!H7</f>
        <v>0</v>
      </c>
      <c r="G9" s="18">
        <f>RAWDATA!I7</f>
        <v>0</v>
      </c>
      <c r="H9" s="19" t="str">
        <f>RAWDATA!M7</f>
        <v>Arabisch 1</v>
      </c>
      <c r="I9" s="19">
        <f>RAWDATA!N7</f>
        <v>0</v>
      </c>
      <c r="J9" s="17" t="str">
        <f>IF(AND(B9=0,E9=0)," ",IF(Notenliste!F7="KP","",Notenliste!I7))</f>
        <v xml:space="preserve"> </v>
      </c>
      <c r="K9" s="17" t="str">
        <f t="shared" si="0"/>
        <v/>
      </c>
      <c r="L9" s="17" t="str">
        <f>IF(AND(B9=0,E9=0),"",IF(Notenliste!F7="KP","",IF(OR(Notenliste!H7="x", Notenliste!H7="X"), "bestanden",Notenliste!F7)))</f>
        <v/>
      </c>
      <c r="M9" s="17" t="str">
        <f>IF(AND(B9=0,E9=0)," ",Notenliste!E7)</f>
        <v xml:space="preserve"> </v>
      </c>
    </row>
    <row r="10" spans="1:13" s="55" customFormat="1" x14ac:dyDescent="0.25">
      <c r="A10" s="17">
        <v>7</v>
      </c>
      <c r="B10" s="18">
        <f>RAWDATA!B8</f>
        <v>0</v>
      </c>
      <c r="C10" s="18">
        <f>RAWDATA!C8</f>
        <v>0</v>
      </c>
      <c r="D10" s="19">
        <f>RAWDATA!D8</f>
        <v>0</v>
      </c>
      <c r="E10" s="19">
        <f>RAWDATA!E8</f>
        <v>0</v>
      </c>
      <c r="F10" s="18">
        <f>RAWDATA!H8</f>
        <v>0</v>
      </c>
      <c r="G10" s="18">
        <f>RAWDATA!I8</f>
        <v>0</v>
      </c>
      <c r="H10" s="19" t="str">
        <f>RAWDATA!M8</f>
        <v>Arabisch 1</v>
      </c>
      <c r="I10" s="19">
        <f>RAWDATA!N8</f>
        <v>0</v>
      </c>
      <c r="J10" s="17" t="str">
        <f>IF(AND(B10=0,E10=0)," ",IF(Notenliste!F8="KP","",Notenliste!I8))</f>
        <v xml:space="preserve"> </v>
      </c>
      <c r="K10" s="17" t="str">
        <f t="shared" si="0"/>
        <v/>
      </c>
      <c r="L10" s="17" t="str">
        <f>IF(AND(B10=0,E10=0),"",IF(Notenliste!F8="KP","",IF(OR(Notenliste!H8="x", Notenliste!H8="X"), "bestanden",Notenliste!F8)))</f>
        <v/>
      </c>
      <c r="M10" s="17" t="str">
        <f>IF(AND(B10=0,E10=0)," ",Notenliste!E8)</f>
        <v xml:space="preserve"> </v>
      </c>
    </row>
    <row r="11" spans="1:13" s="55" customFormat="1" x14ac:dyDescent="0.25">
      <c r="A11" s="17">
        <v>8</v>
      </c>
      <c r="B11" s="18">
        <f>RAWDATA!B9</f>
        <v>0</v>
      </c>
      <c r="C11" s="18">
        <f>RAWDATA!C9</f>
        <v>0</v>
      </c>
      <c r="D11" s="19">
        <f>RAWDATA!D9</f>
        <v>0</v>
      </c>
      <c r="E11" s="19">
        <f>RAWDATA!E9</f>
        <v>0</v>
      </c>
      <c r="F11" s="18">
        <f>RAWDATA!H9</f>
        <v>0</v>
      </c>
      <c r="G11" s="18">
        <f>RAWDATA!I9</f>
        <v>0</v>
      </c>
      <c r="H11" s="19" t="str">
        <f>RAWDATA!M9</f>
        <v>Arabisch 1</v>
      </c>
      <c r="I11" s="19">
        <f>RAWDATA!N9</f>
        <v>0</v>
      </c>
      <c r="J11" s="17" t="str">
        <f>IF(AND(B11=0,E11=0)," ",IF(Notenliste!F9="KP","",Notenliste!I9))</f>
        <v xml:space="preserve"> </v>
      </c>
      <c r="K11" s="17" t="str">
        <f t="shared" si="0"/>
        <v/>
      </c>
      <c r="L11" s="17" t="str">
        <f>IF(AND(B11=0,E11=0),"",IF(Notenliste!F9="KP","",IF(OR(Notenliste!H9="x", Notenliste!H9="X"), "bestanden",Notenliste!F9)))</f>
        <v/>
      </c>
      <c r="M11" s="17" t="str">
        <f>IF(AND(B11=0,E11=0)," ",Notenliste!E9)</f>
        <v xml:space="preserve"> </v>
      </c>
    </row>
    <row r="12" spans="1:13" s="55" customFormat="1" x14ac:dyDescent="0.25">
      <c r="A12" s="17">
        <v>9</v>
      </c>
      <c r="B12" s="18">
        <f>RAWDATA!B10</f>
        <v>0</v>
      </c>
      <c r="C12" s="18">
        <f>RAWDATA!C10</f>
        <v>0</v>
      </c>
      <c r="D12" s="19">
        <f>RAWDATA!D10</f>
        <v>0</v>
      </c>
      <c r="E12" s="19">
        <f>RAWDATA!E10</f>
        <v>0</v>
      </c>
      <c r="F12" s="18">
        <f>RAWDATA!H10</f>
        <v>0</v>
      </c>
      <c r="G12" s="18">
        <f>RAWDATA!I10</f>
        <v>0</v>
      </c>
      <c r="H12" s="19" t="str">
        <f>RAWDATA!M10</f>
        <v>Arabisch 1</v>
      </c>
      <c r="I12" s="19">
        <f>RAWDATA!N10</f>
        <v>0</v>
      </c>
      <c r="J12" s="17" t="str">
        <f>IF(AND(B12=0,E12=0)," ",IF(Notenliste!F10="KP","",Notenliste!I10))</f>
        <v xml:space="preserve"> </v>
      </c>
      <c r="K12" s="17" t="str">
        <f t="shared" si="0"/>
        <v/>
      </c>
      <c r="L12" s="17" t="str">
        <f>IF(AND(B12=0,E12=0),"",IF(Notenliste!F10="KP","",IF(OR(Notenliste!H10="x", Notenliste!H10="X"), "bestanden",Notenliste!F10)))</f>
        <v/>
      </c>
      <c r="M12" s="17" t="str">
        <f>IF(AND(B12=0,E12=0)," ",Notenliste!E10)</f>
        <v xml:space="preserve"> </v>
      </c>
    </row>
    <row r="13" spans="1:13" s="55" customFormat="1" x14ac:dyDescent="0.25">
      <c r="A13" s="17">
        <v>10</v>
      </c>
      <c r="B13" s="18">
        <f>RAWDATA!B11</f>
        <v>0</v>
      </c>
      <c r="C13" s="18">
        <f>RAWDATA!C11</f>
        <v>0</v>
      </c>
      <c r="D13" s="19">
        <f>RAWDATA!D11</f>
        <v>0</v>
      </c>
      <c r="E13" s="19">
        <f>RAWDATA!E11</f>
        <v>0</v>
      </c>
      <c r="F13" s="18">
        <f>RAWDATA!H11</f>
        <v>0</v>
      </c>
      <c r="G13" s="18">
        <f>RAWDATA!I11</f>
        <v>0</v>
      </c>
      <c r="H13" s="19" t="str">
        <f>RAWDATA!M11</f>
        <v>Arabisch 1</v>
      </c>
      <c r="I13" s="19">
        <f>RAWDATA!N11</f>
        <v>0</v>
      </c>
      <c r="J13" s="17" t="str">
        <f>IF(AND(B13=0,E13=0)," ",IF(Notenliste!F11="KP","",Notenliste!I11))</f>
        <v xml:space="preserve"> </v>
      </c>
      <c r="K13" s="17" t="str">
        <f t="shared" si="0"/>
        <v/>
      </c>
      <c r="L13" s="17" t="str">
        <f>IF(AND(B13=0,E13=0),"",IF(Notenliste!F11="KP","",IF(OR(Notenliste!H11="x", Notenliste!H11="X"), "bestanden",Notenliste!F11)))</f>
        <v/>
      </c>
      <c r="M13" s="17" t="str">
        <f>IF(AND(B13=0,E13=0)," ",Notenliste!E11)</f>
        <v xml:space="preserve"> </v>
      </c>
    </row>
    <row r="14" spans="1:13" s="55" customFormat="1" x14ac:dyDescent="0.25">
      <c r="A14" s="17">
        <v>11</v>
      </c>
      <c r="B14" s="18">
        <f>RAWDATA!B12</f>
        <v>0</v>
      </c>
      <c r="C14" s="18">
        <f>RAWDATA!C12</f>
        <v>0</v>
      </c>
      <c r="D14" s="19">
        <f>RAWDATA!D12</f>
        <v>0</v>
      </c>
      <c r="E14" s="19">
        <f>RAWDATA!E12</f>
        <v>0</v>
      </c>
      <c r="F14" s="18">
        <f>RAWDATA!H12</f>
        <v>0</v>
      </c>
      <c r="G14" s="18">
        <f>RAWDATA!I12</f>
        <v>0</v>
      </c>
      <c r="H14" s="19" t="str">
        <f>RAWDATA!M12</f>
        <v>Arabisch 1</v>
      </c>
      <c r="I14" s="19">
        <f>RAWDATA!N12</f>
        <v>0</v>
      </c>
      <c r="J14" s="17" t="str">
        <f>IF(AND(B14=0,E14=0)," ",IF(Notenliste!F12="KP","",Notenliste!I12))</f>
        <v xml:space="preserve"> </v>
      </c>
      <c r="K14" s="17" t="str">
        <f t="shared" si="0"/>
        <v/>
      </c>
      <c r="L14" s="17" t="str">
        <f>IF(AND(B14=0,E14=0),"",IF(Notenliste!F12="KP","",IF(OR(Notenliste!H12="x", Notenliste!H12="X"), "bestanden",Notenliste!F12)))</f>
        <v/>
      </c>
      <c r="M14" s="17" t="str">
        <f>IF(AND(B14=0,E14=0)," ",Notenliste!E12)</f>
        <v xml:space="preserve"> </v>
      </c>
    </row>
    <row r="15" spans="1:13" s="55" customFormat="1" x14ac:dyDescent="0.25">
      <c r="A15" s="17">
        <v>12</v>
      </c>
      <c r="B15" s="18">
        <f>RAWDATA!B13</f>
        <v>0</v>
      </c>
      <c r="C15" s="18">
        <f>RAWDATA!C13</f>
        <v>0</v>
      </c>
      <c r="D15" s="19">
        <f>RAWDATA!D13</f>
        <v>0</v>
      </c>
      <c r="E15" s="19">
        <f>RAWDATA!E13</f>
        <v>0</v>
      </c>
      <c r="F15" s="18">
        <f>RAWDATA!H13</f>
        <v>0</v>
      </c>
      <c r="G15" s="18">
        <f>RAWDATA!I13</f>
        <v>0</v>
      </c>
      <c r="H15" s="19" t="str">
        <f>RAWDATA!M13</f>
        <v>Arabisch 1</v>
      </c>
      <c r="I15" s="19">
        <f>RAWDATA!N13</f>
        <v>0</v>
      </c>
      <c r="J15" s="17" t="str">
        <f>IF(AND(B15=0,E15=0)," ",IF(Notenliste!F13="KP","",Notenliste!I13))</f>
        <v xml:space="preserve"> </v>
      </c>
      <c r="K15" s="17" t="str">
        <f t="shared" si="0"/>
        <v/>
      </c>
      <c r="L15" s="17" t="str">
        <f>IF(AND(B15=0,E15=0),"",IF(Notenliste!F13="KP","",IF(OR(Notenliste!H13="x", Notenliste!H13="X"), "bestanden",Notenliste!F13)))</f>
        <v/>
      </c>
      <c r="M15" s="17" t="str">
        <f>IF(AND(B15=0,E15=0)," ",Notenliste!E13)</f>
        <v xml:space="preserve"> </v>
      </c>
    </row>
    <row r="16" spans="1:13" s="55" customFormat="1" x14ac:dyDescent="0.25">
      <c r="A16" s="17">
        <v>13</v>
      </c>
      <c r="B16" s="18">
        <f>RAWDATA!B14</f>
        <v>0</v>
      </c>
      <c r="C16" s="18">
        <f>RAWDATA!C14</f>
        <v>0</v>
      </c>
      <c r="D16" s="19">
        <f>RAWDATA!D14</f>
        <v>0</v>
      </c>
      <c r="E16" s="19">
        <f>RAWDATA!E14</f>
        <v>0</v>
      </c>
      <c r="F16" s="18">
        <f>RAWDATA!H14</f>
        <v>0</v>
      </c>
      <c r="G16" s="18">
        <f>RAWDATA!I14</f>
        <v>0</v>
      </c>
      <c r="H16" s="19" t="str">
        <f>RAWDATA!M14</f>
        <v>Arabisch 1</v>
      </c>
      <c r="I16" s="19">
        <f>RAWDATA!N14</f>
        <v>0</v>
      </c>
      <c r="J16" s="17" t="str">
        <f>IF(AND(B16=0,E16=0)," ",IF(Notenliste!F14="KP","",Notenliste!I14))</f>
        <v xml:space="preserve"> </v>
      </c>
      <c r="K16" s="17" t="str">
        <f t="shared" si="0"/>
        <v/>
      </c>
      <c r="L16" s="17" t="str">
        <f>IF(AND(B16=0,E16=0),"",IF(Notenliste!F14="KP","",IF(OR(Notenliste!H14="x", Notenliste!H14="X"), "bestanden",Notenliste!F14)))</f>
        <v/>
      </c>
      <c r="M16" s="17" t="str">
        <f>IF(AND(B16=0,E16=0)," ",Notenliste!E14)</f>
        <v xml:space="preserve"> </v>
      </c>
    </row>
    <row r="17" spans="1:13" s="55" customFormat="1" x14ac:dyDescent="0.25">
      <c r="A17" s="17">
        <v>14</v>
      </c>
      <c r="B17" s="18">
        <f>RAWDATA!B15</f>
        <v>0</v>
      </c>
      <c r="C17" s="18">
        <f>RAWDATA!C15</f>
        <v>0</v>
      </c>
      <c r="D17" s="19">
        <f>RAWDATA!D15</f>
        <v>0</v>
      </c>
      <c r="E17" s="19">
        <f>RAWDATA!E15</f>
        <v>0</v>
      </c>
      <c r="F17" s="18">
        <f>RAWDATA!H15</f>
        <v>0</v>
      </c>
      <c r="G17" s="18">
        <f>RAWDATA!I15</f>
        <v>0</v>
      </c>
      <c r="H17" s="19" t="str">
        <f>RAWDATA!M15</f>
        <v>Arabisch 1</v>
      </c>
      <c r="I17" s="19">
        <f>RAWDATA!N15</f>
        <v>0</v>
      </c>
      <c r="J17" s="17" t="str">
        <f>IF(AND(B17=0,E17=0)," ",IF(Notenliste!F15="KP","",Notenliste!I15))</f>
        <v xml:space="preserve"> </v>
      </c>
      <c r="K17" s="17" t="str">
        <f t="shared" si="0"/>
        <v/>
      </c>
      <c r="L17" s="17" t="str">
        <f>IF(AND(B17=0,E17=0),"",IF(Notenliste!F15="KP","",IF(OR(Notenliste!H15="x", Notenliste!H15="X"), "bestanden",Notenliste!F15)))</f>
        <v/>
      </c>
      <c r="M17" s="17" t="str">
        <f>IF(AND(B17=0,E17=0)," ",Notenliste!E15)</f>
        <v xml:space="preserve"> </v>
      </c>
    </row>
    <row r="18" spans="1:13" s="55" customFormat="1" x14ac:dyDescent="0.25">
      <c r="A18" s="17">
        <v>15</v>
      </c>
      <c r="B18" s="18">
        <f>RAWDATA!B16</f>
        <v>0</v>
      </c>
      <c r="C18" s="18">
        <f>RAWDATA!C16</f>
        <v>0</v>
      </c>
      <c r="D18" s="19">
        <f>RAWDATA!D16</f>
        <v>0</v>
      </c>
      <c r="E18" s="19">
        <f>RAWDATA!E16</f>
        <v>0</v>
      </c>
      <c r="F18" s="18">
        <f>RAWDATA!H16</f>
        <v>0</v>
      </c>
      <c r="G18" s="18">
        <f>RAWDATA!I16</f>
        <v>0</v>
      </c>
      <c r="H18" s="19" t="str">
        <f>RAWDATA!M16</f>
        <v>Arabisch 1</v>
      </c>
      <c r="I18" s="19">
        <f>RAWDATA!N16</f>
        <v>0</v>
      </c>
      <c r="J18" s="17" t="str">
        <f>IF(AND(B18=0,E18=0)," ",IF(Notenliste!F16="KP","",Notenliste!I16))</f>
        <v xml:space="preserve"> </v>
      </c>
      <c r="K18" s="17" t="str">
        <f t="shared" si="0"/>
        <v/>
      </c>
      <c r="L18" s="17" t="str">
        <f>IF(AND(B18=0,E18=0),"",IF(Notenliste!F16="KP","",IF(OR(Notenliste!H16="x", Notenliste!H16="X"), "bestanden",Notenliste!F16)))</f>
        <v/>
      </c>
      <c r="M18" s="17" t="str">
        <f>IF(AND(B18=0,E18=0)," ",Notenliste!E16)</f>
        <v xml:space="preserve"> </v>
      </c>
    </row>
    <row r="19" spans="1:13" s="55" customFormat="1" x14ac:dyDescent="0.25">
      <c r="A19" s="17">
        <v>16</v>
      </c>
      <c r="B19" s="18">
        <f>RAWDATA!B17</f>
        <v>0</v>
      </c>
      <c r="C19" s="18">
        <f>RAWDATA!C17</f>
        <v>0</v>
      </c>
      <c r="D19" s="19">
        <f>RAWDATA!D17</f>
        <v>0</v>
      </c>
      <c r="E19" s="19">
        <f>RAWDATA!E17</f>
        <v>0</v>
      </c>
      <c r="F19" s="18">
        <f>RAWDATA!H17</f>
        <v>0</v>
      </c>
      <c r="G19" s="18">
        <f>RAWDATA!I17</f>
        <v>0</v>
      </c>
      <c r="H19" s="19" t="str">
        <f>RAWDATA!M17</f>
        <v>Arabisch 1</v>
      </c>
      <c r="I19" s="19">
        <f>RAWDATA!N17</f>
        <v>0</v>
      </c>
      <c r="J19" s="17" t="str">
        <f>IF(AND(B19=0,E19=0)," ",IF(Notenliste!F17="KP","",Notenliste!I17))</f>
        <v xml:space="preserve"> </v>
      </c>
      <c r="K19" s="17" t="str">
        <f t="shared" si="0"/>
        <v/>
      </c>
      <c r="L19" s="17" t="str">
        <f>IF(AND(B19=0,E19=0),"",IF(Notenliste!F17="KP","",IF(OR(Notenliste!H17="x", Notenliste!H17="X"), "bestanden",Notenliste!F17)))</f>
        <v/>
      </c>
      <c r="M19" s="17" t="str">
        <f>IF(AND(B19=0,E19=0)," ",Notenliste!E17)</f>
        <v xml:space="preserve"> </v>
      </c>
    </row>
    <row r="20" spans="1:13" s="55" customFormat="1" x14ac:dyDescent="0.25">
      <c r="A20" s="17">
        <v>17</v>
      </c>
      <c r="B20" s="18">
        <f>RAWDATA!B18</f>
        <v>0</v>
      </c>
      <c r="C20" s="18">
        <f>RAWDATA!C18</f>
        <v>0</v>
      </c>
      <c r="D20" s="19">
        <f>RAWDATA!D18</f>
        <v>0</v>
      </c>
      <c r="E20" s="19">
        <f>RAWDATA!E18</f>
        <v>0</v>
      </c>
      <c r="F20" s="18">
        <f>RAWDATA!H18</f>
        <v>0</v>
      </c>
      <c r="G20" s="18">
        <f>RAWDATA!I18</f>
        <v>0</v>
      </c>
      <c r="H20" s="19" t="str">
        <f>RAWDATA!M18</f>
        <v>Arabisch 1</v>
      </c>
      <c r="I20" s="19">
        <f>RAWDATA!N18</f>
        <v>0</v>
      </c>
      <c r="J20" s="17" t="str">
        <f>IF(AND(B20=0,E20=0)," ",IF(Notenliste!F18="KP","",Notenliste!I18))</f>
        <v xml:space="preserve"> </v>
      </c>
      <c r="K20" s="17" t="str">
        <f t="shared" si="0"/>
        <v/>
      </c>
      <c r="L20" s="17" t="str">
        <f>IF(AND(B20=0,E20=0),"",IF(Notenliste!F18="KP","",IF(OR(Notenliste!H18="x", Notenliste!H18="X"), "bestanden",Notenliste!F18)))</f>
        <v/>
      </c>
      <c r="M20" s="17" t="str">
        <f>IF(AND(B20=0,E20=0)," ",Notenliste!E18)</f>
        <v xml:space="preserve"> </v>
      </c>
    </row>
    <row r="21" spans="1:13" s="55" customFormat="1" x14ac:dyDescent="0.25">
      <c r="A21" s="17">
        <v>18</v>
      </c>
      <c r="B21" s="18">
        <f>RAWDATA!B19</f>
        <v>0</v>
      </c>
      <c r="C21" s="18">
        <f>RAWDATA!C19</f>
        <v>0</v>
      </c>
      <c r="D21" s="19">
        <f>RAWDATA!D19</f>
        <v>0</v>
      </c>
      <c r="E21" s="19">
        <f>RAWDATA!E19</f>
        <v>0</v>
      </c>
      <c r="F21" s="18">
        <f>RAWDATA!H19</f>
        <v>0</v>
      </c>
      <c r="G21" s="18">
        <f>RAWDATA!I19</f>
        <v>0</v>
      </c>
      <c r="H21" s="19" t="str">
        <f>RAWDATA!M19</f>
        <v>Arabisch 1</v>
      </c>
      <c r="I21" s="19">
        <f>RAWDATA!N19</f>
        <v>0</v>
      </c>
      <c r="J21" s="17" t="str">
        <f>IF(AND(B21=0,E21=0)," ",IF(Notenliste!F19="KP","",Notenliste!I19))</f>
        <v xml:space="preserve"> </v>
      </c>
      <c r="K21" s="17" t="str">
        <f t="shared" si="0"/>
        <v/>
      </c>
      <c r="L21" s="17" t="str">
        <f>IF(AND(B21=0,E21=0),"",IF(Notenliste!F19="KP","",IF(OR(Notenliste!H19="x", Notenliste!H19="X"), "bestanden",Notenliste!F19)))</f>
        <v/>
      </c>
      <c r="M21" s="17" t="str">
        <f>IF(AND(B21=0,E21=0)," ",Notenliste!E19)</f>
        <v xml:space="preserve"> </v>
      </c>
    </row>
    <row r="22" spans="1:13" s="55" customFormat="1" x14ac:dyDescent="0.25">
      <c r="A22" s="17">
        <v>19</v>
      </c>
      <c r="B22" s="18">
        <f>RAWDATA!B20</f>
        <v>0</v>
      </c>
      <c r="C22" s="18">
        <f>RAWDATA!C20</f>
        <v>0</v>
      </c>
      <c r="D22" s="19">
        <f>RAWDATA!D20</f>
        <v>0</v>
      </c>
      <c r="E22" s="19">
        <f>RAWDATA!E20</f>
        <v>0</v>
      </c>
      <c r="F22" s="18">
        <f>RAWDATA!H20</f>
        <v>0</v>
      </c>
      <c r="G22" s="18">
        <f>RAWDATA!I20</f>
        <v>0</v>
      </c>
      <c r="H22" s="19" t="str">
        <f>RAWDATA!M20</f>
        <v>Arabisch 1</v>
      </c>
      <c r="I22" s="19">
        <f>RAWDATA!N20</f>
        <v>0</v>
      </c>
      <c r="J22" s="17" t="str">
        <f>IF(AND(B22=0,E22=0)," ",IF(Notenliste!F20="KP","",Notenliste!I20))</f>
        <v xml:space="preserve"> </v>
      </c>
      <c r="K22" s="17" t="str">
        <f t="shared" si="0"/>
        <v/>
      </c>
      <c r="L22" s="17" t="str">
        <f>IF(AND(B22=0,E22=0),"",IF(Notenliste!F20="KP","",IF(OR(Notenliste!H20="x", Notenliste!H20="X"), "bestanden",Notenliste!F20)))</f>
        <v/>
      </c>
      <c r="M22" s="17" t="str">
        <f>IF(AND(B22=0,E22=0)," ",Notenliste!E20)</f>
        <v xml:space="preserve"> </v>
      </c>
    </row>
    <row r="23" spans="1:13" s="55" customFormat="1" x14ac:dyDescent="0.25">
      <c r="A23" s="17">
        <v>20</v>
      </c>
      <c r="B23" s="18">
        <f>RAWDATA!B21</f>
        <v>0</v>
      </c>
      <c r="C23" s="18">
        <f>RAWDATA!C21</f>
        <v>0</v>
      </c>
      <c r="D23" s="19">
        <f>RAWDATA!D21</f>
        <v>0</v>
      </c>
      <c r="E23" s="19">
        <f>RAWDATA!E21</f>
        <v>0</v>
      </c>
      <c r="F23" s="18">
        <f>RAWDATA!H21</f>
        <v>0</v>
      </c>
      <c r="G23" s="18">
        <f>RAWDATA!I21</f>
        <v>0</v>
      </c>
      <c r="H23" s="19" t="str">
        <f>RAWDATA!M21</f>
        <v>Arabisch 1</v>
      </c>
      <c r="I23" s="19">
        <f>RAWDATA!N21</f>
        <v>0</v>
      </c>
      <c r="J23" s="17" t="str">
        <f>IF(AND(B23=0,E23=0)," ",IF(Notenliste!F21="KP","",Notenliste!I21))</f>
        <v xml:space="preserve"> </v>
      </c>
      <c r="K23" s="17" t="str">
        <f t="shared" si="0"/>
        <v/>
      </c>
      <c r="L23" s="17" t="str">
        <f>IF(AND(B23=0,E23=0),"",IF(Notenliste!F21="KP","",IF(OR(Notenliste!H21="x", Notenliste!H21="X"), "bestanden",Notenliste!F21)))</f>
        <v/>
      </c>
      <c r="M23" s="17" t="str">
        <f>IF(AND(B23=0,E23=0)," ",Notenliste!E21)</f>
        <v xml:space="preserve"> </v>
      </c>
    </row>
    <row r="24" spans="1:13" s="55" customFormat="1" x14ac:dyDescent="0.25">
      <c r="A24" s="17">
        <v>21</v>
      </c>
      <c r="B24" s="18">
        <f>RAWDATA!B22</f>
        <v>0</v>
      </c>
      <c r="C24" s="18">
        <f>RAWDATA!C22</f>
        <v>0</v>
      </c>
      <c r="D24" s="19">
        <f>RAWDATA!D22</f>
        <v>0</v>
      </c>
      <c r="E24" s="19">
        <f>RAWDATA!E22</f>
        <v>0</v>
      </c>
      <c r="F24" s="18">
        <f>RAWDATA!H22</f>
        <v>0</v>
      </c>
      <c r="G24" s="18">
        <f>RAWDATA!I22</f>
        <v>0</v>
      </c>
      <c r="H24" s="19" t="str">
        <f>RAWDATA!M22</f>
        <v>Arabisch 1</v>
      </c>
      <c r="I24" s="19">
        <f>RAWDATA!N22</f>
        <v>0</v>
      </c>
      <c r="J24" s="17" t="str">
        <f>IF(AND(B24=0,E24=0)," ",IF(Notenliste!F22="KP","",Notenliste!I22))</f>
        <v xml:space="preserve"> </v>
      </c>
      <c r="K24" s="17" t="str">
        <f t="shared" si="0"/>
        <v/>
      </c>
      <c r="L24" s="17" t="str">
        <f>IF(AND(B24=0,E24=0),"",IF(Notenliste!F22="KP","",IF(OR(Notenliste!H22="x", Notenliste!H22="X"), "bestanden",Notenliste!F22)))</f>
        <v/>
      </c>
      <c r="M24" s="17" t="str">
        <f>IF(AND(B24=0,E24=0)," ",Notenliste!E22)</f>
        <v xml:space="preserve"> </v>
      </c>
    </row>
    <row r="25" spans="1:13" s="55" customFormat="1" x14ac:dyDescent="0.25">
      <c r="A25" s="17">
        <v>22</v>
      </c>
      <c r="B25" s="18">
        <f>RAWDATA!B23</f>
        <v>0</v>
      </c>
      <c r="C25" s="18">
        <f>RAWDATA!C23</f>
        <v>0</v>
      </c>
      <c r="D25" s="19">
        <f>RAWDATA!D23</f>
        <v>0</v>
      </c>
      <c r="E25" s="19">
        <f>RAWDATA!E23</f>
        <v>0</v>
      </c>
      <c r="F25" s="18">
        <f>RAWDATA!H23</f>
        <v>0</v>
      </c>
      <c r="G25" s="18">
        <f>RAWDATA!I23</f>
        <v>0</v>
      </c>
      <c r="H25" s="19" t="str">
        <f>RAWDATA!M23</f>
        <v>Arabisch 1</v>
      </c>
      <c r="I25" s="19">
        <f>RAWDATA!N23</f>
        <v>0</v>
      </c>
      <c r="J25" s="17" t="str">
        <f>IF(AND(B25=0,E25=0)," ",IF(Notenliste!F23="KP","",Notenliste!I23))</f>
        <v xml:space="preserve"> </v>
      </c>
      <c r="K25" s="17" t="str">
        <f t="shared" si="0"/>
        <v/>
      </c>
      <c r="L25" s="17" t="str">
        <f>IF(AND(B25=0,E25=0),"",IF(Notenliste!F23="KP","",IF(OR(Notenliste!H23="x", Notenliste!H23="X"), "bestanden",Notenliste!F23)))</f>
        <v/>
      </c>
      <c r="M25" s="17" t="str">
        <f>IF(AND(B25=0,E25=0)," ",Notenliste!E23)</f>
        <v xml:space="preserve"> </v>
      </c>
    </row>
    <row r="26" spans="1:13" s="55" customFormat="1" x14ac:dyDescent="0.25">
      <c r="A26" s="17">
        <v>23</v>
      </c>
      <c r="B26" s="18">
        <f>RAWDATA!B24</f>
        <v>0</v>
      </c>
      <c r="C26" s="18">
        <f>RAWDATA!C24</f>
        <v>0</v>
      </c>
      <c r="D26" s="19">
        <f>RAWDATA!D24</f>
        <v>0</v>
      </c>
      <c r="E26" s="19">
        <f>RAWDATA!E24</f>
        <v>0</v>
      </c>
      <c r="F26" s="18">
        <f>RAWDATA!H24</f>
        <v>0</v>
      </c>
      <c r="G26" s="18">
        <f>RAWDATA!I24</f>
        <v>0</v>
      </c>
      <c r="H26" s="19" t="str">
        <f>RAWDATA!M24</f>
        <v>Arabisch 1</v>
      </c>
      <c r="I26" s="19">
        <f>RAWDATA!N24</f>
        <v>0</v>
      </c>
      <c r="J26" s="17" t="str">
        <f>IF(AND(B26=0,E26=0)," ",IF(Notenliste!F24="KP","",Notenliste!I24))</f>
        <v xml:space="preserve"> </v>
      </c>
      <c r="K26" s="17" t="str">
        <f t="shared" si="0"/>
        <v/>
      </c>
      <c r="L26" s="17" t="str">
        <f>IF(AND(B26=0,E26=0),"",IF(Notenliste!F24="KP","",IF(OR(Notenliste!H24="x", Notenliste!H24="X"), "bestanden",Notenliste!F24)))</f>
        <v/>
      </c>
      <c r="M26" s="17" t="str">
        <f>IF(AND(B26=0,E26=0)," ",Notenliste!E24)</f>
        <v xml:space="preserve"> </v>
      </c>
    </row>
    <row r="27" spans="1:13" s="55" customFormat="1" x14ac:dyDescent="0.25">
      <c r="A27" s="17">
        <v>24</v>
      </c>
      <c r="B27" s="18">
        <f>RAWDATA!B25</f>
        <v>0</v>
      </c>
      <c r="C27" s="18">
        <f>RAWDATA!C25</f>
        <v>0</v>
      </c>
      <c r="D27" s="19">
        <f>RAWDATA!D25</f>
        <v>0</v>
      </c>
      <c r="E27" s="19">
        <f>RAWDATA!E25</f>
        <v>0</v>
      </c>
      <c r="F27" s="18">
        <f>RAWDATA!H25</f>
        <v>0</v>
      </c>
      <c r="G27" s="18">
        <f>RAWDATA!I25</f>
        <v>0</v>
      </c>
      <c r="H27" s="19">
        <f>RAWDATA!M25</f>
        <v>0</v>
      </c>
      <c r="I27" s="19">
        <f>RAWDATA!N25</f>
        <v>0</v>
      </c>
      <c r="J27" s="17" t="str">
        <f>IF(AND(B27=0,E27=0)," ",IF(Notenliste!F25="KP","",Notenliste!I25))</f>
        <v xml:space="preserve"> </v>
      </c>
      <c r="K27" s="17" t="str">
        <f t="shared" si="0"/>
        <v/>
      </c>
      <c r="L27" s="17" t="str">
        <f>IF(AND(B27=0,E27=0),"",IF(Notenliste!F25="KP","",IF(OR(Notenliste!H25="x", Notenliste!H25="X"), "bestanden",Notenliste!F25)))</f>
        <v/>
      </c>
      <c r="M27" s="17" t="str">
        <f>IF(AND(B27=0,E27=0)," ",Notenliste!E25)</f>
        <v xml:space="preserve"> </v>
      </c>
    </row>
    <row r="28" spans="1:13" s="55" customFormat="1" x14ac:dyDescent="0.25">
      <c r="A28" s="17">
        <v>25</v>
      </c>
      <c r="B28" s="18">
        <f>RAWDATA!B26</f>
        <v>0</v>
      </c>
      <c r="C28" s="18">
        <f>RAWDATA!C26</f>
        <v>0</v>
      </c>
      <c r="D28" s="19">
        <f>RAWDATA!D26</f>
        <v>0</v>
      </c>
      <c r="E28" s="19">
        <f>RAWDATA!E26</f>
        <v>0</v>
      </c>
      <c r="F28" s="18">
        <f>RAWDATA!H26</f>
        <v>0</v>
      </c>
      <c r="G28" s="18">
        <f>RAWDATA!I26</f>
        <v>0</v>
      </c>
      <c r="H28" s="19">
        <f>RAWDATA!M26</f>
        <v>0</v>
      </c>
      <c r="I28" s="19">
        <f>RAWDATA!N26</f>
        <v>0</v>
      </c>
      <c r="J28" s="17" t="str">
        <f>IF(AND(B28=0,E28=0)," ",IF(Notenliste!F26="KP","",Notenliste!I26))</f>
        <v xml:space="preserve"> </v>
      </c>
      <c r="K28" s="17" t="str">
        <f t="shared" si="0"/>
        <v/>
      </c>
      <c r="L28" s="17" t="str">
        <f>IF(AND(B28=0,E28=0),"",IF(Notenliste!F26="KP","",IF(OR(Notenliste!H26="x", Notenliste!H26="X"), "bestanden",Notenliste!F26)))</f>
        <v/>
      </c>
      <c r="M28" s="17" t="str">
        <f>IF(AND(B28=0,E28=0)," ",Notenliste!E26)</f>
        <v xml:space="preserve"> </v>
      </c>
    </row>
    <row r="29" spans="1:13" s="55" customFormat="1" x14ac:dyDescent="0.25">
      <c r="A29" s="17">
        <v>26</v>
      </c>
      <c r="B29" s="18">
        <f>RAWDATA!B27</f>
        <v>0</v>
      </c>
      <c r="C29" s="18">
        <f>RAWDATA!C27</f>
        <v>0</v>
      </c>
      <c r="D29" s="19">
        <f>RAWDATA!D27</f>
        <v>0</v>
      </c>
      <c r="E29" s="19">
        <f>RAWDATA!E27</f>
        <v>0</v>
      </c>
      <c r="F29" s="18">
        <f>RAWDATA!H27</f>
        <v>0</v>
      </c>
      <c r="G29" s="18">
        <f>RAWDATA!I27</f>
        <v>0</v>
      </c>
      <c r="H29" s="19">
        <f>RAWDATA!M27</f>
        <v>0</v>
      </c>
      <c r="I29" s="19">
        <f>RAWDATA!N27</f>
        <v>0</v>
      </c>
      <c r="J29" s="17" t="str">
        <f>IF(AND(B29=0,E29=0)," ",IF(Notenliste!F27="KP","",Notenliste!I27))</f>
        <v xml:space="preserve"> </v>
      </c>
      <c r="K29" s="17" t="str">
        <f t="shared" si="0"/>
        <v/>
      </c>
      <c r="L29" s="17" t="str">
        <f>IF(AND(B29=0,E29=0),"",IF(Notenliste!F27="KP","",IF(OR(Notenliste!H27="x", Notenliste!H27="X"), "bestanden",Notenliste!F27)))</f>
        <v/>
      </c>
      <c r="M29" s="17" t="str">
        <f>IF(AND(B29=0,E29=0)," ",Notenliste!E27)</f>
        <v xml:space="preserve"> </v>
      </c>
    </row>
    <row r="30" spans="1:13" s="55" customFormat="1" x14ac:dyDescent="0.25">
      <c r="A30" s="17">
        <v>27</v>
      </c>
      <c r="B30" s="18">
        <f>RAWDATA!B28</f>
        <v>0</v>
      </c>
      <c r="C30" s="18">
        <f>RAWDATA!C28</f>
        <v>0</v>
      </c>
      <c r="D30" s="19">
        <f>RAWDATA!D28</f>
        <v>0</v>
      </c>
      <c r="E30" s="19">
        <f>RAWDATA!E28</f>
        <v>0</v>
      </c>
      <c r="F30" s="18">
        <f>RAWDATA!H28</f>
        <v>0</v>
      </c>
      <c r="G30" s="18">
        <f>RAWDATA!I28</f>
        <v>0</v>
      </c>
      <c r="H30" s="19">
        <f>RAWDATA!M28</f>
        <v>0</v>
      </c>
      <c r="I30" s="19">
        <f>RAWDATA!N28</f>
        <v>0</v>
      </c>
      <c r="J30" s="17" t="str">
        <f>IF(AND(B30=0,E30=0)," ",IF(Notenliste!F28="KP","",Notenliste!I28))</f>
        <v xml:space="preserve"> </v>
      </c>
      <c r="K30" s="17" t="str">
        <f t="shared" si="0"/>
        <v/>
      </c>
      <c r="L30" s="17" t="str">
        <f>IF(AND(B30=0,E30=0),"",IF(Notenliste!F28="KP","",IF(OR(Notenliste!H28="x", Notenliste!H28="X"), "bestanden",Notenliste!F28)))</f>
        <v/>
      </c>
      <c r="M30" s="17" t="str">
        <f>IF(AND(B30=0,E30=0)," ",Notenliste!E28)</f>
        <v xml:space="preserve"> </v>
      </c>
    </row>
    <row r="31" spans="1:13" s="55" customFormat="1" x14ac:dyDescent="0.25">
      <c r="A31" s="17">
        <v>28</v>
      </c>
      <c r="B31" s="18">
        <f>RAWDATA!B29</f>
        <v>0</v>
      </c>
      <c r="C31" s="18">
        <f>RAWDATA!C29</f>
        <v>0</v>
      </c>
      <c r="D31" s="19">
        <f>RAWDATA!D29</f>
        <v>0</v>
      </c>
      <c r="E31" s="19">
        <f>RAWDATA!E29</f>
        <v>0</v>
      </c>
      <c r="F31" s="18">
        <f>RAWDATA!H29</f>
        <v>0</v>
      </c>
      <c r="G31" s="18">
        <f>RAWDATA!I29</f>
        <v>0</v>
      </c>
      <c r="H31" s="19">
        <f>RAWDATA!M29</f>
        <v>0</v>
      </c>
      <c r="I31" s="19">
        <f>RAWDATA!N29</f>
        <v>0</v>
      </c>
      <c r="J31" s="17" t="str">
        <f>IF(AND(B31=0,E31=0)," ",IF(Notenliste!F29="KP","",Notenliste!I29))</f>
        <v xml:space="preserve"> </v>
      </c>
      <c r="K31" s="17" t="str">
        <f t="shared" si="0"/>
        <v/>
      </c>
      <c r="L31" s="17" t="str">
        <f>IF(AND(B31=0,E31=0),"",IF(Notenliste!F29="KP","",IF(OR(Notenliste!H29="x", Notenliste!H29="X"), "bestanden",Notenliste!F29)))</f>
        <v/>
      </c>
      <c r="M31" s="17" t="str">
        <f>IF(AND(B31=0,E31=0)," ",Notenliste!E29)</f>
        <v xml:space="preserve"> </v>
      </c>
    </row>
    <row r="32" spans="1:13" s="55" customFormat="1" x14ac:dyDescent="0.25">
      <c r="A32" s="17">
        <v>29</v>
      </c>
      <c r="B32" s="18">
        <f>RAWDATA!B30</f>
        <v>0</v>
      </c>
      <c r="C32" s="18">
        <f>RAWDATA!C30</f>
        <v>0</v>
      </c>
      <c r="D32" s="19">
        <f>RAWDATA!D30</f>
        <v>0</v>
      </c>
      <c r="E32" s="19">
        <f>RAWDATA!E30</f>
        <v>0</v>
      </c>
      <c r="F32" s="18">
        <f>RAWDATA!H30</f>
        <v>0</v>
      </c>
      <c r="G32" s="18">
        <f>RAWDATA!I30</f>
        <v>0</v>
      </c>
      <c r="H32" s="19">
        <f>RAWDATA!M30</f>
        <v>0</v>
      </c>
      <c r="I32" s="19">
        <f>RAWDATA!N30</f>
        <v>0</v>
      </c>
      <c r="J32" s="17" t="str">
        <f>IF(AND(B32=0,E32=0)," ",IF(Notenliste!F30="KP","",Notenliste!I30))</f>
        <v xml:space="preserve"> </v>
      </c>
      <c r="K32" s="17" t="str">
        <f t="shared" si="0"/>
        <v/>
      </c>
      <c r="L32" s="17" t="str">
        <f>IF(AND(B32=0,E32=0),"",IF(Notenliste!F30="KP","",IF(OR(Notenliste!H30="x", Notenliste!H30="X"), "bestanden",Notenliste!F30)))</f>
        <v/>
      </c>
      <c r="M32" s="17" t="str">
        <f>IF(AND(B32=0,E32=0)," ",Notenliste!E30)</f>
        <v xml:space="preserve"> </v>
      </c>
    </row>
    <row r="33" spans="1:14" s="55" customFormat="1" x14ac:dyDescent="0.25">
      <c r="A33" s="17">
        <v>30</v>
      </c>
      <c r="B33" s="18">
        <f>RAWDATA!B31</f>
        <v>0</v>
      </c>
      <c r="C33" s="18">
        <f>RAWDATA!C31</f>
        <v>0</v>
      </c>
      <c r="D33" s="19">
        <f>RAWDATA!D31</f>
        <v>0</v>
      </c>
      <c r="E33" s="19">
        <f>RAWDATA!E31</f>
        <v>0</v>
      </c>
      <c r="F33" s="18">
        <f>RAWDATA!H31</f>
        <v>0</v>
      </c>
      <c r="G33" s="18">
        <f>RAWDATA!I31</f>
        <v>0</v>
      </c>
      <c r="H33" s="19">
        <f>RAWDATA!M31</f>
        <v>0</v>
      </c>
      <c r="I33" s="19">
        <f>RAWDATA!N31</f>
        <v>0</v>
      </c>
      <c r="J33" s="17" t="str">
        <f>IF(AND(B33=0,E33=0)," ",IF(Notenliste!F31="KP","",Notenliste!I31))</f>
        <v xml:space="preserve"> </v>
      </c>
      <c r="K33" s="17" t="str">
        <f t="shared" si="0"/>
        <v/>
      </c>
      <c r="L33" s="17" t="str">
        <f>IF(AND(B33=0,E33=0),"",IF(Notenliste!F31="KP","",IF(OR(Notenliste!H31="x", Notenliste!H31="X"), "bestanden",Notenliste!F31)))</f>
        <v/>
      </c>
      <c r="M33" s="17" t="str">
        <f>IF(AND(B33=0,E33=0)," ",Notenliste!E31)</f>
        <v xml:space="preserve"> </v>
      </c>
    </row>
    <row r="34" spans="1:14" s="55" customFormat="1" x14ac:dyDescent="0.25">
      <c r="A34" s="17">
        <v>31</v>
      </c>
      <c r="B34" s="18">
        <f>RAWDATA!B32</f>
        <v>0</v>
      </c>
      <c r="C34" s="18">
        <f>RAWDATA!C32</f>
        <v>0</v>
      </c>
      <c r="D34" s="19">
        <f>RAWDATA!D32</f>
        <v>0</v>
      </c>
      <c r="E34" s="19">
        <f>RAWDATA!E32</f>
        <v>0</v>
      </c>
      <c r="F34" s="18">
        <f>RAWDATA!H32</f>
        <v>0</v>
      </c>
      <c r="G34" s="18">
        <f>RAWDATA!I32</f>
        <v>0</v>
      </c>
      <c r="H34" s="19">
        <f>RAWDATA!M32</f>
        <v>0</v>
      </c>
      <c r="I34" s="19">
        <f>RAWDATA!N32</f>
        <v>0</v>
      </c>
      <c r="J34" s="17" t="str">
        <f>IF(AND(B34=0,E34=0)," ",IF(Notenliste!F32="KP","",Notenliste!I32))</f>
        <v xml:space="preserve"> </v>
      </c>
      <c r="K34" s="17" t="str">
        <f t="shared" si="0"/>
        <v/>
      </c>
      <c r="L34" s="17" t="str">
        <f>IF(AND(B34=0,E34=0),"",IF(Notenliste!F32="KP","",IF(OR(Notenliste!H32="x", Notenliste!H32="X"), "bestanden",Notenliste!F32)))</f>
        <v/>
      </c>
      <c r="M34" s="17" t="str">
        <f>IF(AND(B34=0,E34=0)," ",Notenliste!E32)</f>
        <v xml:space="preserve"> </v>
      </c>
    </row>
    <row r="35" spans="1:14" s="55" customFormat="1" x14ac:dyDescent="0.25">
      <c r="A35" s="17">
        <v>32</v>
      </c>
      <c r="B35" s="18">
        <f>RAWDATA!B33</f>
        <v>0</v>
      </c>
      <c r="C35" s="18">
        <f>RAWDATA!C33</f>
        <v>0</v>
      </c>
      <c r="D35" s="19">
        <f>RAWDATA!D33</f>
        <v>0</v>
      </c>
      <c r="E35" s="19">
        <f>RAWDATA!E33</f>
        <v>0</v>
      </c>
      <c r="F35" s="18">
        <f>RAWDATA!H33</f>
        <v>0</v>
      </c>
      <c r="G35" s="18">
        <f>RAWDATA!I33</f>
        <v>0</v>
      </c>
      <c r="H35" s="19">
        <f>RAWDATA!M33</f>
        <v>0</v>
      </c>
      <c r="I35" s="19">
        <f>RAWDATA!N33</f>
        <v>0</v>
      </c>
      <c r="J35" s="17" t="str">
        <f>IF(AND(B35=0,E35=0)," ",IF(Notenliste!F33="KP","",Notenliste!I33))</f>
        <v xml:space="preserve"> </v>
      </c>
      <c r="K35" s="17" t="str">
        <f t="shared" si="0"/>
        <v/>
      </c>
      <c r="L35" s="17" t="str">
        <f>IF(AND(B35=0,E35=0),"",IF(Notenliste!F33="KP","",IF(OR(Notenliste!H33="x", Notenliste!H33="X"), "bestanden",Notenliste!F33)))</f>
        <v/>
      </c>
      <c r="M35" s="17" t="str">
        <f>IF(AND(B35=0,E35=0)," ",Notenliste!E33)</f>
        <v xml:space="preserve"> </v>
      </c>
    </row>
    <row r="36" spans="1:14" s="55" customFormat="1" x14ac:dyDescent="0.25">
      <c r="A36" s="17">
        <v>33</v>
      </c>
      <c r="B36" s="18">
        <f>RAWDATA!B34</f>
        <v>0</v>
      </c>
      <c r="C36" s="18">
        <f>RAWDATA!C34</f>
        <v>0</v>
      </c>
      <c r="D36" s="19">
        <f>RAWDATA!D34</f>
        <v>0</v>
      </c>
      <c r="E36" s="19">
        <f>RAWDATA!E34</f>
        <v>0</v>
      </c>
      <c r="F36" s="18">
        <f>RAWDATA!H34</f>
        <v>0</v>
      </c>
      <c r="G36" s="18">
        <f>RAWDATA!I34</f>
        <v>0</v>
      </c>
      <c r="H36" s="19">
        <f>RAWDATA!M34</f>
        <v>0</v>
      </c>
      <c r="I36" s="19">
        <f>RAWDATA!N34</f>
        <v>0</v>
      </c>
      <c r="J36" s="17" t="str">
        <f>IF(AND(B36=0,E36=0)," ",IF(Notenliste!F34="KP","",Notenliste!I34))</f>
        <v xml:space="preserve"> </v>
      </c>
      <c r="K36" s="17" t="str">
        <f t="shared" si="0"/>
        <v/>
      </c>
      <c r="L36" s="17" t="str">
        <f>IF(AND(B36=0,E36=0),"",IF(Notenliste!F34="KP","",IF(OR(Notenliste!H34="x", Notenliste!H34="X"), "bestanden",Notenliste!F34)))</f>
        <v/>
      </c>
      <c r="M36" s="17" t="str">
        <f>IF(AND(B36=0,E36=0)," ",Notenliste!E34)</f>
        <v xml:space="preserve"> </v>
      </c>
    </row>
    <row r="37" spans="1:14" s="55" customFormat="1" x14ac:dyDescent="0.25">
      <c r="A37" s="17">
        <v>34</v>
      </c>
      <c r="B37" s="18">
        <f>RAWDATA!B35</f>
        <v>0</v>
      </c>
      <c r="C37" s="18">
        <f>RAWDATA!C35</f>
        <v>0</v>
      </c>
      <c r="D37" s="19">
        <f>RAWDATA!D35</f>
        <v>0</v>
      </c>
      <c r="E37" s="19">
        <f>RAWDATA!E35</f>
        <v>0</v>
      </c>
      <c r="F37" s="18">
        <f>RAWDATA!H35</f>
        <v>0</v>
      </c>
      <c r="G37" s="18">
        <f>RAWDATA!I35</f>
        <v>0</v>
      </c>
      <c r="H37" s="19">
        <f>RAWDATA!M35</f>
        <v>0</v>
      </c>
      <c r="I37" s="19">
        <f>RAWDATA!N35</f>
        <v>0</v>
      </c>
      <c r="J37" s="17" t="str">
        <f>IF(AND(B37=0,E37=0)," ",IF(Notenliste!F35="KP","",Notenliste!I35))</f>
        <v xml:space="preserve"> </v>
      </c>
      <c r="K37" s="17" t="str">
        <f t="shared" si="0"/>
        <v/>
      </c>
      <c r="L37" s="17" t="str">
        <f>IF(AND(B37=0,E37=0),"",IF(Notenliste!F35="KP","",IF(OR(Notenliste!H35="x", Notenliste!H35="X"), "bestanden",Notenliste!F35)))</f>
        <v/>
      </c>
      <c r="M37" s="17" t="str">
        <f>IF(AND(B37=0,E37=0)," ",Notenliste!E35)</f>
        <v xml:space="preserve"> </v>
      </c>
    </row>
    <row r="38" spans="1:14" s="55" customFormat="1" x14ac:dyDescent="0.25">
      <c r="A38" s="17">
        <v>35</v>
      </c>
      <c r="B38" s="18">
        <f>RAWDATA!B36</f>
        <v>0</v>
      </c>
      <c r="C38" s="18">
        <f>RAWDATA!C36</f>
        <v>0</v>
      </c>
      <c r="D38" s="19">
        <f>RAWDATA!D36</f>
        <v>0</v>
      </c>
      <c r="E38" s="19">
        <f>RAWDATA!E36</f>
        <v>0</v>
      </c>
      <c r="F38" s="18">
        <f>RAWDATA!H36</f>
        <v>0</v>
      </c>
      <c r="G38" s="18">
        <f>RAWDATA!I36</f>
        <v>0</v>
      </c>
      <c r="H38" s="19">
        <f>RAWDATA!M36</f>
        <v>0</v>
      </c>
      <c r="I38" s="19">
        <f>RAWDATA!N36</f>
        <v>0</v>
      </c>
      <c r="J38" s="17" t="str">
        <f>IF(AND(B38=0,E38=0)," ",IF(Notenliste!F36="KP","",Notenliste!I36))</f>
        <v xml:space="preserve"> </v>
      </c>
      <c r="K38" s="17" t="str">
        <f t="shared" si="0"/>
        <v/>
      </c>
      <c r="L38" s="17" t="str">
        <f>IF(AND(B38=0,E38=0),"",IF(Notenliste!F36="KP","",IF(OR(Notenliste!H36="x", Notenliste!H36="X"), "bestanden",Notenliste!F36)))</f>
        <v/>
      </c>
      <c r="M38" s="17" t="str">
        <f>IF(AND(B38=0,E38=0)," ",Notenliste!E36)</f>
        <v xml:space="preserve"> </v>
      </c>
    </row>
    <row r="39" spans="1:14" s="55" customFormat="1" x14ac:dyDescent="0.25">
      <c r="A39" s="52"/>
      <c r="B39" s="53"/>
      <c r="C39" s="53"/>
      <c r="D39" s="54"/>
      <c r="E39" s="54"/>
      <c r="F39" s="53"/>
      <c r="G39" s="53"/>
      <c r="H39" s="51"/>
      <c r="I39" s="51"/>
      <c r="J39" s="17"/>
      <c r="K39" s="17">
        <f>COUNTIF(K4:K38,"X")</f>
        <v>0</v>
      </c>
      <c r="L39" s="52"/>
      <c r="M39" s="52"/>
    </row>
    <row r="40" spans="1:14" s="55" customFormat="1" x14ac:dyDescent="0.25">
      <c r="A40" s="71" t="s">
        <v>38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</row>
    <row r="41" spans="1:14" s="55" customFormat="1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</row>
    <row r="42" spans="1:14" s="55" customFormat="1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</row>
    <row r="43" spans="1:14" s="55" customFormat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</row>
    <row r="44" spans="1:14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55"/>
    </row>
  </sheetData>
  <sheetProtection sheet="1" formatColumns="0" selectLockedCells="1"/>
  <mergeCells count="4">
    <mergeCell ref="A1:M1"/>
    <mergeCell ref="A2:E2"/>
    <mergeCell ref="F2:M2"/>
    <mergeCell ref="A40:M44"/>
  </mergeCells>
  <pageMargins left="0.70866141732283472" right="0.70866141732283472" top="0.9055118110236221" bottom="1.1023622047244095" header="0.70866141732283472" footer="0.55118110236220474"/>
  <pageSetup paperSize="9" scale="62" orientation="landscape" horizontalDpi="4294967293" r:id="rId1"/>
  <headerFooter>
    <oddHeader xml:space="preserve">&amp;L&amp;G&amp;R&amp;"Arial Black,Standard"&amp;36SpZ  </oddHeader>
    <oddFooter>&amp;C&amp;D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E40"/>
  <sheetViews>
    <sheetView showZeros="0" workbookViewId="0">
      <selection activeCell="M13" sqref="M13"/>
    </sheetView>
  </sheetViews>
  <sheetFormatPr baseColWidth="10" defaultColWidth="0" defaultRowHeight="15" customHeight="1" zeroHeight="1" x14ac:dyDescent="0.25"/>
  <cols>
    <col min="1" max="1" width="3.7109375" style="7" bestFit="1" customWidth="1"/>
    <col min="2" max="2" width="20.42578125" bestFit="1" customWidth="1"/>
    <col min="3" max="3" width="17.42578125" customWidth="1"/>
    <col min="4" max="4" width="6.42578125" style="20" customWidth="1"/>
    <col min="5" max="5" width="9.7109375" style="20" customWidth="1"/>
    <col min="6" max="6" width="0.85546875" style="20" customWidth="1"/>
    <col min="7" max="20" width="7.7109375" style="20" customWidth="1"/>
    <col min="21" max="21" width="0.85546875" style="20" customWidth="1"/>
    <col min="22" max="22" width="10.7109375" style="49" customWidth="1"/>
    <col min="23" max="23" width="10.7109375" style="37" customWidth="1"/>
    <col min="24" max="30" width="0" hidden="1" customWidth="1"/>
    <col min="32" max="16384" width="11.42578125" hidden="1"/>
  </cols>
  <sheetData>
    <row r="1" spans="1:23" ht="20.100000000000001" customHeight="1" x14ac:dyDescent="0.25">
      <c r="A1" s="74" t="str">
        <f>Notenliste!B44&amp;Notenliste!B45</f>
        <v>course.namecourse.alternative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</row>
    <row r="2" spans="1:23" ht="20.100000000000001" customHeight="1" x14ac:dyDescent="0.25">
      <c r="A2" s="74" t="s">
        <v>36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23" ht="15" customHeight="1" x14ac:dyDescent="0.25">
      <c r="A3" s="75" t="str">
        <f>"Dozent/in: "&amp;Notenliste!B41</f>
        <v>Dozent/in: course.teacher_name</v>
      </c>
      <c r="B3" s="75"/>
      <c r="C3" s="75"/>
      <c r="D3" s="75"/>
      <c r="E3" s="75"/>
      <c r="F3" s="40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 s="16" customFormat="1" ht="40.5" customHeight="1" x14ac:dyDescent="0.25">
      <c r="A4" s="77" t="s">
        <v>26</v>
      </c>
      <c r="B4" s="77" t="s">
        <v>18</v>
      </c>
      <c r="C4" s="77" t="s">
        <v>19</v>
      </c>
      <c r="D4" s="77" t="s">
        <v>33</v>
      </c>
      <c r="E4" s="79" t="s">
        <v>29</v>
      </c>
      <c r="F4" s="41"/>
      <c r="G4" s="42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43"/>
      <c r="V4" s="72" t="s">
        <v>35</v>
      </c>
      <c r="W4" s="72" t="s">
        <v>37</v>
      </c>
    </row>
    <row r="5" spans="1:23" s="16" customFormat="1" x14ac:dyDescent="0.25">
      <c r="A5" s="78"/>
      <c r="B5" s="78"/>
      <c r="C5" s="78"/>
      <c r="D5" s="78"/>
      <c r="E5" s="80"/>
      <c r="F5" s="44"/>
      <c r="G5" s="42">
        <v>1</v>
      </c>
      <c r="H5" s="14">
        <v>2</v>
      </c>
      <c r="I5" s="14">
        <v>3</v>
      </c>
      <c r="J5" s="14">
        <v>4</v>
      </c>
      <c r="K5" s="14">
        <v>5</v>
      </c>
      <c r="L5" s="14">
        <v>6</v>
      </c>
      <c r="M5" s="14">
        <v>7</v>
      </c>
      <c r="N5" s="14">
        <v>8</v>
      </c>
      <c r="O5" s="14">
        <v>9</v>
      </c>
      <c r="P5" s="14">
        <v>10</v>
      </c>
      <c r="Q5" s="14">
        <v>11</v>
      </c>
      <c r="R5" s="14">
        <v>12</v>
      </c>
      <c r="S5" s="14">
        <v>13</v>
      </c>
      <c r="T5" s="14">
        <v>14</v>
      </c>
      <c r="U5" s="45"/>
      <c r="V5" s="73"/>
      <c r="W5" s="73"/>
    </row>
    <row r="6" spans="1:23" x14ac:dyDescent="0.25">
      <c r="A6" s="17">
        <v>1</v>
      </c>
      <c r="B6" s="18" t="str">
        <f>RAWDATA!B2</f>
        <v>applicant.last_name</v>
      </c>
      <c r="C6" s="18" t="str">
        <f>RAWDATA!C2</f>
        <v>applicant.first_name</v>
      </c>
      <c r="D6" s="18" t="str">
        <f>RAWDATA!D2</f>
        <v>applicant.origin.short_name</v>
      </c>
      <c r="E6" s="18" t="str">
        <f>RAWDATA!E2</f>
        <v>applicant.tag</v>
      </c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6"/>
      <c r="V6" s="48"/>
      <c r="W6" s="48"/>
    </row>
    <row r="7" spans="1:23" x14ac:dyDescent="0.25">
      <c r="A7" s="17">
        <v>2</v>
      </c>
      <c r="B7" s="18">
        <f>RAWDATA!B3</f>
        <v>0</v>
      </c>
      <c r="C7" s="18">
        <f>RAWDATA!C3</f>
        <v>0</v>
      </c>
      <c r="D7" s="18">
        <f>RAWDATA!D3</f>
        <v>0</v>
      </c>
      <c r="E7" s="18">
        <f>RAWDATA!E3</f>
        <v>0</v>
      </c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6"/>
      <c r="V7" s="48"/>
      <c r="W7" s="48"/>
    </row>
    <row r="8" spans="1:23" x14ac:dyDescent="0.25">
      <c r="A8" s="17">
        <v>3</v>
      </c>
      <c r="B8" s="18">
        <f>RAWDATA!B4</f>
        <v>0</v>
      </c>
      <c r="C8" s="18">
        <f>RAWDATA!C4</f>
        <v>0</v>
      </c>
      <c r="D8" s="18">
        <f>RAWDATA!D4</f>
        <v>0</v>
      </c>
      <c r="E8" s="18">
        <f>RAWDATA!E4</f>
        <v>0</v>
      </c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6"/>
      <c r="V8" s="48"/>
      <c r="W8" s="48"/>
    </row>
    <row r="9" spans="1:23" x14ac:dyDescent="0.25">
      <c r="A9" s="17">
        <v>4</v>
      </c>
      <c r="B9" s="18">
        <f>RAWDATA!B5</f>
        <v>0</v>
      </c>
      <c r="C9" s="18">
        <f>RAWDATA!C5</f>
        <v>0</v>
      </c>
      <c r="D9" s="18">
        <f>RAWDATA!D5</f>
        <v>0</v>
      </c>
      <c r="E9" s="18">
        <f>RAWDATA!E5</f>
        <v>0</v>
      </c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6"/>
      <c r="V9" s="48"/>
      <c r="W9" s="48"/>
    </row>
    <row r="10" spans="1:23" x14ac:dyDescent="0.25">
      <c r="A10" s="17">
        <v>5</v>
      </c>
      <c r="B10" s="18">
        <f>RAWDATA!B6</f>
        <v>0</v>
      </c>
      <c r="C10" s="18">
        <f>RAWDATA!C6</f>
        <v>0</v>
      </c>
      <c r="D10" s="18">
        <f>RAWDATA!D6</f>
        <v>0</v>
      </c>
      <c r="E10" s="18">
        <f>RAWDATA!E6</f>
        <v>0</v>
      </c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6"/>
      <c r="V10" s="48"/>
      <c r="W10" s="48"/>
    </row>
    <row r="11" spans="1:23" x14ac:dyDescent="0.25">
      <c r="A11" s="17">
        <v>6</v>
      </c>
      <c r="B11" s="18">
        <f>RAWDATA!B7</f>
        <v>0</v>
      </c>
      <c r="C11" s="18">
        <f>RAWDATA!C7</f>
        <v>0</v>
      </c>
      <c r="D11" s="18">
        <f>RAWDATA!D7</f>
        <v>0</v>
      </c>
      <c r="E11" s="18">
        <f>RAWDATA!E7</f>
        <v>0</v>
      </c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6"/>
      <c r="V11" s="48"/>
      <c r="W11" s="48"/>
    </row>
    <row r="12" spans="1:23" x14ac:dyDescent="0.25">
      <c r="A12" s="17">
        <v>7</v>
      </c>
      <c r="B12" s="18">
        <f>RAWDATA!B8</f>
        <v>0</v>
      </c>
      <c r="C12" s="18">
        <f>RAWDATA!C8</f>
        <v>0</v>
      </c>
      <c r="D12" s="18">
        <f>RAWDATA!D8</f>
        <v>0</v>
      </c>
      <c r="E12" s="18">
        <f>RAWDATA!E8</f>
        <v>0</v>
      </c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6"/>
      <c r="V12" s="48"/>
      <c r="W12" s="48"/>
    </row>
    <row r="13" spans="1:23" x14ac:dyDescent="0.25">
      <c r="A13" s="17">
        <v>8</v>
      </c>
      <c r="B13" s="18">
        <f>RAWDATA!B9</f>
        <v>0</v>
      </c>
      <c r="C13" s="18">
        <f>RAWDATA!C9</f>
        <v>0</v>
      </c>
      <c r="D13" s="18">
        <f>RAWDATA!D9</f>
        <v>0</v>
      </c>
      <c r="E13" s="18">
        <f>RAWDATA!E9</f>
        <v>0</v>
      </c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6"/>
      <c r="V13" s="48"/>
      <c r="W13" s="48"/>
    </row>
    <row r="14" spans="1:23" x14ac:dyDescent="0.25">
      <c r="A14" s="17">
        <v>9</v>
      </c>
      <c r="B14" s="18">
        <f>RAWDATA!B10</f>
        <v>0</v>
      </c>
      <c r="C14" s="18">
        <f>RAWDATA!C10</f>
        <v>0</v>
      </c>
      <c r="D14" s="18">
        <f>RAWDATA!D10</f>
        <v>0</v>
      </c>
      <c r="E14" s="18">
        <f>RAWDATA!E10</f>
        <v>0</v>
      </c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6"/>
      <c r="V14" s="48"/>
      <c r="W14" s="48"/>
    </row>
    <row r="15" spans="1:23" x14ac:dyDescent="0.25">
      <c r="A15" s="17">
        <v>10</v>
      </c>
      <c r="B15" s="18">
        <f>RAWDATA!B11</f>
        <v>0</v>
      </c>
      <c r="C15" s="18">
        <f>RAWDATA!C11</f>
        <v>0</v>
      </c>
      <c r="D15" s="18">
        <f>RAWDATA!D11</f>
        <v>0</v>
      </c>
      <c r="E15" s="18">
        <f>RAWDATA!E11</f>
        <v>0</v>
      </c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6"/>
      <c r="V15" s="48"/>
      <c r="W15" s="48"/>
    </row>
    <row r="16" spans="1:23" x14ac:dyDescent="0.25">
      <c r="A16" s="17">
        <v>11</v>
      </c>
      <c r="B16" s="18">
        <f>RAWDATA!B12</f>
        <v>0</v>
      </c>
      <c r="C16" s="18">
        <f>RAWDATA!C12</f>
        <v>0</v>
      </c>
      <c r="D16" s="18">
        <f>RAWDATA!D12</f>
        <v>0</v>
      </c>
      <c r="E16" s="18">
        <f>RAWDATA!E12</f>
        <v>0</v>
      </c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6"/>
      <c r="V16" s="48"/>
      <c r="W16" s="48"/>
    </row>
    <row r="17" spans="1:23" x14ac:dyDescent="0.25">
      <c r="A17" s="17">
        <v>12</v>
      </c>
      <c r="B17" s="18">
        <f>RAWDATA!B13</f>
        <v>0</v>
      </c>
      <c r="C17" s="18">
        <f>RAWDATA!C13</f>
        <v>0</v>
      </c>
      <c r="D17" s="18">
        <f>RAWDATA!D13</f>
        <v>0</v>
      </c>
      <c r="E17" s="18">
        <f>RAWDATA!E13</f>
        <v>0</v>
      </c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6"/>
      <c r="V17" s="48"/>
      <c r="W17" s="48"/>
    </row>
    <row r="18" spans="1:23" x14ac:dyDescent="0.25">
      <c r="A18" s="17">
        <v>13</v>
      </c>
      <c r="B18" s="18">
        <f>RAWDATA!B14</f>
        <v>0</v>
      </c>
      <c r="C18" s="18">
        <f>RAWDATA!C14</f>
        <v>0</v>
      </c>
      <c r="D18" s="18">
        <f>RAWDATA!D14</f>
        <v>0</v>
      </c>
      <c r="E18" s="18">
        <f>RAWDATA!E14</f>
        <v>0</v>
      </c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6"/>
      <c r="V18" s="48"/>
      <c r="W18" s="48"/>
    </row>
    <row r="19" spans="1:23" x14ac:dyDescent="0.25">
      <c r="A19" s="17">
        <v>14</v>
      </c>
      <c r="B19" s="18">
        <f>RAWDATA!B15</f>
        <v>0</v>
      </c>
      <c r="C19" s="18">
        <f>RAWDATA!C15</f>
        <v>0</v>
      </c>
      <c r="D19" s="18">
        <f>RAWDATA!D15</f>
        <v>0</v>
      </c>
      <c r="E19" s="18">
        <f>RAWDATA!E15</f>
        <v>0</v>
      </c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6"/>
      <c r="V19" s="48"/>
      <c r="W19" s="48"/>
    </row>
    <row r="20" spans="1:23" x14ac:dyDescent="0.25">
      <c r="A20" s="17">
        <v>15</v>
      </c>
      <c r="B20" s="18">
        <f>RAWDATA!B16</f>
        <v>0</v>
      </c>
      <c r="C20" s="18">
        <f>RAWDATA!C16</f>
        <v>0</v>
      </c>
      <c r="D20" s="18">
        <f>RAWDATA!D16</f>
        <v>0</v>
      </c>
      <c r="E20" s="18">
        <f>RAWDATA!E16</f>
        <v>0</v>
      </c>
      <c r="F20" s="4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6"/>
      <c r="V20" s="48"/>
      <c r="W20" s="48"/>
    </row>
    <row r="21" spans="1:23" x14ac:dyDescent="0.25">
      <c r="A21" s="17">
        <v>16</v>
      </c>
      <c r="B21" s="18">
        <f>RAWDATA!B17</f>
        <v>0</v>
      </c>
      <c r="C21" s="18">
        <f>RAWDATA!C17</f>
        <v>0</v>
      </c>
      <c r="D21" s="18">
        <f>RAWDATA!D17</f>
        <v>0</v>
      </c>
      <c r="E21" s="18">
        <f>RAWDATA!E17</f>
        <v>0</v>
      </c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6"/>
      <c r="V21" s="48"/>
      <c r="W21" s="48"/>
    </row>
    <row r="22" spans="1:23" x14ac:dyDescent="0.25">
      <c r="A22" s="17">
        <v>17</v>
      </c>
      <c r="B22" s="18">
        <f>RAWDATA!B18</f>
        <v>0</v>
      </c>
      <c r="C22" s="18">
        <f>RAWDATA!C18</f>
        <v>0</v>
      </c>
      <c r="D22" s="18">
        <f>RAWDATA!D18</f>
        <v>0</v>
      </c>
      <c r="E22" s="18">
        <f>RAWDATA!E18</f>
        <v>0</v>
      </c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6"/>
      <c r="V22" s="48"/>
      <c r="W22" s="48"/>
    </row>
    <row r="23" spans="1:23" x14ac:dyDescent="0.25">
      <c r="A23" s="17">
        <v>18</v>
      </c>
      <c r="B23" s="18">
        <f>RAWDATA!B19</f>
        <v>0</v>
      </c>
      <c r="C23" s="18">
        <f>RAWDATA!C19</f>
        <v>0</v>
      </c>
      <c r="D23" s="18">
        <f>RAWDATA!D19</f>
        <v>0</v>
      </c>
      <c r="E23" s="18">
        <f>RAWDATA!E19</f>
        <v>0</v>
      </c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6"/>
      <c r="V23" s="48"/>
      <c r="W23" s="48"/>
    </row>
    <row r="24" spans="1:23" x14ac:dyDescent="0.25">
      <c r="A24" s="17">
        <v>19</v>
      </c>
      <c r="B24" s="18">
        <f>RAWDATA!B20</f>
        <v>0</v>
      </c>
      <c r="C24" s="18">
        <f>RAWDATA!C20</f>
        <v>0</v>
      </c>
      <c r="D24" s="18">
        <f>RAWDATA!D20</f>
        <v>0</v>
      </c>
      <c r="E24" s="18">
        <f>RAWDATA!E20</f>
        <v>0</v>
      </c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6"/>
      <c r="V24" s="48"/>
      <c r="W24" s="48"/>
    </row>
    <row r="25" spans="1:23" x14ac:dyDescent="0.25">
      <c r="A25" s="17">
        <v>20</v>
      </c>
      <c r="B25" s="18">
        <f>RAWDATA!B21</f>
        <v>0</v>
      </c>
      <c r="C25" s="18">
        <f>RAWDATA!C21</f>
        <v>0</v>
      </c>
      <c r="D25" s="18">
        <f>RAWDATA!D21</f>
        <v>0</v>
      </c>
      <c r="E25" s="18">
        <f>RAWDATA!E21</f>
        <v>0</v>
      </c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6"/>
      <c r="V25" s="48"/>
      <c r="W25" s="48"/>
    </row>
    <row r="26" spans="1:23" x14ac:dyDescent="0.25">
      <c r="A26" s="17">
        <v>21</v>
      </c>
      <c r="B26" s="18">
        <f>RAWDATA!B22</f>
        <v>0</v>
      </c>
      <c r="C26" s="18">
        <f>RAWDATA!C22</f>
        <v>0</v>
      </c>
      <c r="D26" s="18">
        <f>RAWDATA!D22</f>
        <v>0</v>
      </c>
      <c r="E26" s="18">
        <f>RAWDATA!E22</f>
        <v>0</v>
      </c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6"/>
      <c r="V26" s="48"/>
      <c r="W26" s="48"/>
    </row>
    <row r="27" spans="1:23" x14ac:dyDescent="0.25">
      <c r="A27" s="17">
        <v>22</v>
      </c>
      <c r="B27" s="18">
        <f>RAWDATA!B23</f>
        <v>0</v>
      </c>
      <c r="C27" s="18">
        <f>RAWDATA!C23</f>
        <v>0</v>
      </c>
      <c r="D27" s="18">
        <f>RAWDATA!D23</f>
        <v>0</v>
      </c>
      <c r="E27" s="18">
        <f>RAWDATA!E23</f>
        <v>0</v>
      </c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6"/>
      <c r="V27" s="48"/>
      <c r="W27" s="48"/>
    </row>
    <row r="28" spans="1:23" x14ac:dyDescent="0.25">
      <c r="A28" s="17">
        <v>23</v>
      </c>
      <c r="B28" s="18">
        <f>RAWDATA!B24</f>
        <v>0</v>
      </c>
      <c r="C28" s="18">
        <f>RAWDATA!C24</f>
        <v>0</v>
      </c>
      <c r="D28" s="18">
        <f>RAWDATA!D24</f>
        <v>0</v>
      </c>
      <c r="E28" s="18">
        <f>RAWDATA!E24</f>
        <v>0</v>
      </c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6"/>
      <c r="V28" s="48"/>
      <c r="W28" s="48"/>
    </row>
    <row r="29" spans="1:23" x14ac:dyDescent="0.25">
      <c r="A29" s="17">
        <v>24</v>
      </c>
      <c r="B29" s="18">
        <f>RAWDATA!B25</f>
        <v>0</v>
      </c>
      <c r="C29" s="18">
        <f>RAWDATA!C25</f>
        <v>0</v>
      </c>
      <c r="D29" s="18">
        <f>RAWDATA!D25</f>
        <v>0</v>
      </c>
      <c r="E29" s="18">
        <f>RAWDATA!E25</f>
        <v>0</v>
      </c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6"/>
      <c r="V29" s="48"/>
      <c r="W29" s="48"/>
    </row>
    <row r="30" spans="1:23" x14ac:dyDescent="0.25">
      <c r="A30" s="17">
        <v>25</v>
      </c>
      <c r="B30" s="18">
        <f>RAWDATA!B26</f>
        <v>0</v>
      </c>
      <c r="C30" s="18">
        <f>RAWDATA!C26</f>
        <v>0</v>
      </c>
      <c r="D30" s="18">
        <f>RAWDATA!D26</f>
        <v>0</v>
      </c>
      <c r="E30" s="18">
        <f>RAWDATA!E26</f>
        <v>0</v>
      </c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6"/>
      <c r="V30" s="48"/>
      <c r="W30" s="48"/>
    </row>
    <row r="31" spans="1:23" x14ac:dyDescent="0.25">
      <c r="A31" s="17">
        <v>26</v>
      </c>
      <c r="B31" s="18">
        <f>RAWDATA!B27</f>
        <v>0</v>
      </c>
      <c r="C31" s="18">
        <f>RAWDATA!C27</f>
        <v>0</v>
      </c>
      <c r="D31" s="18">
        <f>RAWDATA!D27</f>
        <v>0</v>
      </c>
      <c r="E31" s="18">
        <f>RAWDATA!E27</f>
        <v>0</v>
      </c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6"/>
      <c r="V31" s="48"/>
      <c r="W31" s="48"/>
    </row>
    <row r="32" spans="1:23" x14ac:dyDescent="0.25">
      <c r="A32" s="17">
        <v>27</v>
      </c>
      <c r="B32" s="18">
        <f>RAWDATA!B28</f>
        <v>0</v>
      </c>
      <c r="C32" s="18">
        <f>RAWDATA!C28</f>
        <v>0</v>
      </c>
      <c r="D32" s="18">
        <f>RAWDATA!D28</f>
        <v>0</v>
      </c>
      <c r="E32" s="18">
        <f>RAWDATA!E28</f>
        <v>0</v>
      </c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6"/>
      <c r="V32" s="48"/>
      <c r="W32" s="48"/>
    </row>
    <row r="33" spans="1:23" x14ac:dyDescent="0.25">
      <c r="A33" s="17">
        <v>28</v>
      </c>
      <c r="B33" s="18">
        <f>RAWDATA!B29</f>
        <v>0</v>
      </c>
      <c r="C33" s="18">
        <f>RAWDATA!C29</f>
        <v>0</v>
      </c>
      <c r="D33" s="18">
        <f>RAWDATA!D29</f>
        <v>0</v>
      </c>
      <c r="E33" s="18">
        <f>RAWDATA!E29</f>
        <v>0</v>
      </c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6"/>
      <c r="V33" s="48"/>
      <c r="W33" s="48"/>
    </row>
    <row r="34" spans="1:23" x14ac:dyDescent="0.25">
      <c r="A34" s="17">
        <v>29</v>
      </c>
      <c r="B34" s="18">
        <f>RAWDATA!B30</f>
        <v>0</v>
      </c>
      <c r="C34" s="18">
        <f>RAWDATA!C30</f>
        <v>0</v>
      </c>
      <c r="D34" s="18">
        <f>RAWDATA!D30</f>
        <v>0</v>
      </c>
      <c r="E34" s="18">
        <f>RAWDATA!E30</f>
        <v>0</v>
      </c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6"/>
      <c r="V34" s="48"/>
      <c r="W34" s="48"/>
    </row>
    <row r="35" spans="1:23" x14ac:dyDescent="0.25">
      <c r="A35" s="17">
        <v>30</v>
      </c>
      <c r="B35" s="18">
        <f>RAWDATA!B31</f>
        <v>0</v>
      </c>
      <c r="C35" s="18">
        <f>RAWDATA!C31</f>
        <v>0</v>
      </c>
      <c r="D35" s="18">
        <f>RAWDATA!D31</f>
        <v>0</v>
      </c>
      <c r="E35" s="18">
        <f>RAWDATA!E31</f>
        <v>0</v>
      </c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6"/>
      <c r="V35" s="48"/>
      <c r="W35" s="48"/>
    </row>
    <row r="36" spans="1:23" x14ac:dyDescent="0.25">
      <c r="A36" s="17">
        <v>31</v>
      </c>
      <c r="B36" s="18">
        <f>RAWDATA!B32</f>
        <v>0</v>
      </c>
      <c r="C36" s="18">
        <f>RAWDATA!C32</f>
        <v>0</v>
      </c>
      <c r="D36" s="18">
        <f>RAWDATA!D32</f>
        <v>0</v>
      </c>
      <c r="E36" s="18">
        <f>RAWDATA!E32</f>
        <v>0</v>
      </c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6"/>
      <c r="V36" s="48"/>
      <c r="W36" s="48"/>
    </row>
    <row r="37" spans="1:23" x14ac:dyDescent="0.25">
      <c r="A37" s="17">
        <v>32</v>
      </c>
      <c r="B37" s="18">
        <f>RAWDATA!B33</f>
        <v>0</v>
      </c>
      <c r="C37" s="18">
        <f>RAWDATA!C33</f>
        <v>0</v>
      </c>
      <c r="D37" s="18">
        <f>RAWDATA!D33</f>
        <v>0</v>
      </c>
      <c r="E37" s="18">
        <f>RAWDATA!E33</f>
        <v>0</v>
      </c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6"/>
      <c r="V37" s="48"/>
      <c r="W37" s="48"/>
    </row>
    <row r="38" spans="1:23" x14ac:dyDescent="0.25">
      <c r="A38" s="17">
        <v>33</v>
      </c>
      <c r="B38" s="18">
        <f>RAWDATA!B34</f>
        <v>0</v>
      </c>
      <c r="C38" s="18">
        <f>RAWDATA!C34</f>
        <v>0</v>
      </c>
      <c r="D38" s="18">
        <f>RAWDATA!D34</f>
        <v>0</v>
      </c>
      <c r="E38" s="18">
        <f>RAWDATA!E34</f>
        <v>0</v>
      </c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6"/>
      <c r="V38" s="48"/>
      <c r="W38" s="48"/>
    </row>
    <row r="39" spans="1:23" x14ac:dyDescent="0.25">
      <c r="A39" s="17">
        <v>34</v>
      </c>
      <c r="B39" s="18">
        <f>RAWDATA!B35</f>
        <v>0</v>
      </c>
      <c r="C39" s="18">
        <f>RAWDATA!C35</f>
        <v>0</v>
      </c>
      <c r="D39" s="18">
        <f>RAWDATA!D35</f>
        <v>0</v>
      </c>
      <c r="E39" s="18">
        <f>RAWDATA!E35</f>
        <v>0</v>
      </c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6"/>
      <c r="V39" s="48"/>
      <c r="W39" s="48"/>
    </row>
    <row r="40" spans="1:23" x14ac:dyDescent="0.25">
      <c r="A40" s="17">
        <v>35</v>
      </c>
      <c r="B40" s="18">
        <f>RAWDATA!B36</f>
        <v>0</v>
      </c>
      <c r="C40" s="18">
        <f>RAWDATA!C36</f>
        <v>0</v>
      </c>
      <c r="D40" s="18">
        <f>RAWDATA!D36</f>
        <v>0</v>
      </c>
      <c r="E40" s="18">
        <f>RAWDATA!E36</f>
        <v>0</v>
      </c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6"/>
      <c r="V40" s="48"/>
      <c r="W40" s="48"/>
    </row>
  </sheetData>
  <sheetProtection sheet="1" objects="1" scenarios="1" formatColumns="0" selectLockedCells="1"/>
  <mergeCells count="11">
    <mergeCell ref="V4:V5"/>
    <mergeCell ref="W4:W5"/>
    <mergeCell ref="A1:W1"/>
    <mergeCell ref="A2:W2"/>
    <mergeCell ref="A3:E3"/>
    <mergeCell ref="G3:W3"/>
    <mergeCell ref="A4:A5"/>
    <mergeCell ref="B4:B5"/>
    <mergeCell ref="C4:C5"/>
    <mergeCell ref="D4:D5"/>
    <mergeCell ref="E4:E5"/>
  </mergeCells>
  <pageMargins left="0.70866141732283472" right="0.70866141732283472" top="1.299212598425197" bottom="1.1023622047244095" header="0.70866141732283472" footer="0.55118110236220474"/>
  <pageSetup paperSize="9" scale="65" orientation="landscape" horizontalDpi="4294967293" r:id="rId1"/>
  <headerFooter>
    <oddHeader>&amp;L&amp;G&amp;R&amp;"Arial Black,Standard"&amp;36SpZ</oddHeader>
    <oddFooter>&amp;C&amp;D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6"/>
  <sheetViews>
    <sheetView workbookViewId="0">
      <selection activeCell="F36" sqref="F36"/>
    </sheetView>
  </sheetViews>
  <sheetFormatPr baseColWidth="10" defaultColWidth="11.42578125" defaultRowHeight="15" x14ac:dyDescent="0.25"/>
  <cols>
    <col min="1" max="1" width="18" style="58" customWidth="1"/>
    <col min="2" max="2" width="12.85546875" customWidth="1"/>
    <col min="4" max="4" width="15.42578125" style="61" customWidth="1"/>
    <col min="5" max="5" width="18.140625" style="60" customWidth="1"/>
    <col min="6" max="6" width="35.42578125" customWidth="1"/>
    <col min="7" max="7" width="31.42578125" bestFit="1" customWidth="1"/>
    <col min="8" max="8" width="46.42578125" customWidth="1"/>
  </cols>
  <sheetData>
    <row r="1" spans="1:8" x14ac:dyDescent="0.25">
      <c r="A1" s="58" t="s">
        <v>27</v>
      </c>
      <c r="B1" t="s">
        <v>41</v>
      </c>
      <c r="C1" t="s">
        <v>42</v>
      </c>
      <c r="D1" s="59" t="s">
        <v>4</v>
      </c>
      <c r="E1" s="60" t="s">
        <v>43</v>
      </c>
      <c r="F1" t="s">
        <v>44</v>
      </c>
      <c r="G1" t="s">
        <v>45</v>
      </c>
      <c r="H1" t="s">
        <v>46</v>
      </c>
    </row>
    <row r="2" spans="1:8" x14ac:dyDescent="0.25">
      <c r="A2" s="38" t="str">
        <f>IF(Notenliste!D2=0," ",Notenliste!D2)</f>
        <v>applicant.tag</v>
      </c>
      <c r="B2" s="37"/>
      <c r="C2" s="37" t="str">
        <f>IF(Notenliste!D2&lt;&gt;0,IF(Notenliste!I2&lt;&gt;0,Notenliste!I2,Notenliste!$B$33)," ")</f>
        <v>attendance.ects_points</v>
      </c>
      <c r="D2" s="62" t="e">
        <f>IF(Notenliste!D2=0," ",IF(Notenliste!F2="KP"," ",IF(Notenliste!F2="NB","nicht bestanden",IF(OR(Notenliste!H2="x", Notenliste!H2="X"),"bestanden",Notenliste!F2))))</f>
        <v>#N/A</v>
      </c>
      <c r="E2" s="63" t="str">
        <f>IF(Notenliste!D2&lt;&gt;0,Notenliste!$B$48," ")</f>
        <v>exam_date</v>
      </c>
      <c r="F2" s="37"/>
      <c r="G2" s="37"/>
      <c r="H2" s="37"/>
    </row>
    <row r="3" spans="1:8" x14ac:dyDescent="0.25">
      <c r="A3" s="38" t="str">
        <f>IF(Notenliste!D3=0," ",Notenliste!D3)</f>
        <v xml:space="preserve"> </v>
      </c>
      <c r="B3" s="37"/>
      <c r="C3" s="37" t="str">
        <f>IF(Notenliste!D3&lt;&gt;0,IF(Notenliste!I3&lt;&gt;0,Notenliste!I3,Notenliste!$B$33)," ")</f>
        <v xml:space="preserve"> </v>
      </c>
      <c r="D3" s="62" t="str">
        <f>IF(Notenliste!D3=0," ",IF(Notenliste!F3="KP"," ",IF(Notenliste!F3="NB","nicht bestanden",IF(OR(Notenliste!H3="x", Notenliste!H3="X"),"bestanden",Notenliste!F3))))</f>
        <v xml:space="preserve"> </v>
      </c>
      <c r="E3" s="63" t="str">
        <f>IF(Notenliste!D3&lt;&gt;0,Notenliste!$B$48," ")</f>
        <v xml:space="preserve"> </v>
      </c>
      <c r="F3" s="37"/>
      <c r="G3" s="37"/>
      <c r="H3" s="37"/>
    </row>
    <row r="4" spans="1:8" x14ac:dyDescent="0.25">
      <c r="A4" s="38" t="str">
        <f>IF(Notenliste!D4=0," ",Notenliste!D4)</f>
        <v xml:space="preserve"> </v>
      </c>
      <c r="B4" s="37"/>
      <c r="C4" s="37" t="str">
        <f>IF(Notenliste!D4&lt;&gt;0,IF(Notenliste!I4&lt;&gt;0,Notenliste!I4,Notenliste!$B$33)," ")</f>
        <v xml:space="preserve"> </v>
      </c>
      <c r="D4" s="62" t="str">
        <f>IF(Notenliste!D4=0," ",IF(Notenliste!F4="KP"," ",IF(Notenliste!F4="NB","nicht bestanden",IF(OR(Notenliste!H4="x", Notenliste!H4="X"),"bestanden",Notenliste!F4))))</f>
        <v xml:space="preserve"> </v>
      </c>
      <c r="E4" s="63" t="str">
        <f>IF(Notenliste!D4&lt;&gt;0,Notenliste!$B$48," ")</f>
        <v xml:space="preserve"> </v>
      </c>
      <c r="F4" s="37"/>
      <c r="G4" s="37"/>
      <c r="H4" s="37"/>
    </row>
    <row r="5" spans="1:8" x14ac:dyDescent="0.25">
      <c r="A5" s="38" t="str">
        <f>IF(Notenliste!D5=0," ",Notenliste!D5)</f>
        <v xml:space="preserve"> </v>
      </c>
      <c r="B5" s="37"/>
      <c r="C5" s="37" t="str">
        <f>IF(Notenliste!D5&lt;&gt;0,IF(Notenliste!I5&lt;&gt;0,Notenliste!I5,Notenliste!$B$33)," ")</f>
        <v xml:space="preserve"> </v>
      </c>
      <c r="D5" s="62" t="str">
        <f>IF(Notenliste!D5=0," ",IF(Notenliste!F5="KP"," ",IF(Notenliste!F5="NB","nicht bestanden",IF(OR(Notenliste!H5="x", Notenliste!H5="X"),"bestanden",Notenliste!F5))))</f>
        <v xml:space="preserve"> </v>
      </c>
      <c r="E5" s="63" t="str">
        <f>IF(Notenliste!D5&lt;&gt;0,Notenliste!$B$48," ")</f>
        <v xml:space="preserve"> </v>
      </c>
      <c r="F5" s="37"/>
      <c r="G5" s="37"/>
      <c r="H5" s="37"/>
    </row>
    <row r="6" spans="1:8" x14ac:dyDescent="0.25">
      <c r="A6" s="38" t="str">
        <f>IF(Notenliste!D6=0," ",Notenliste!D6)</f>
        <v xml:space="preserve"> </v>
      </c>
      <c r="B6" s="37"/>
      <c r="C6" s="37" t="str">
        <f>IF(Notenliste!D6&lt;&gt;0,IF(Notenliste!I6&lt;&gt;0,Notenliste!I6,Notenliste!$B$33)," ")</f>
        <v xml:space="preserve"> </v>
      </c>
      <c r="D6" s="62" t="str">
        <f>IF(Notenliste!D6=0," ",IF(Notenliste!F6="KP"," ",IF(Notenliste!F6="NB","nicht bestanden",IF(OR(Notenliste!H6="x", Notenliste!H6="X"),"bestanden",Notenliste!F6))))</f>
        <v xml:space="preserve"> </v>
      </c>
      <c r="E6" s="63" t="str">
        <f>IF(Notenliste!D6&lt;&gt;0,Notenliste!$B$48," ")</f>
        <v xml:space="preserve"> </v>
      </c>
      <c r="F6" s="37"/>
      <c r="G6" s="37"/>
      <c r="H6" s="37"/>
    </row>
    <row r="7" spans="1:8" x14ac:dyDescent="0.25">
      <c r="A7" s="38" t="str">
        <f>IF(Notenliste!D7=0," ",Notenliste!D7)</f>
        <v xml:space="preserve"> </v>
      </c>
      <c r="B7" s="37"/>
      <c r="C7" s="37" t="str">
        <f>IF(Notenliste!D7&lt;&gt;0,IF(Notenliste!I7&lt;&gt;0,Notenliste!I7,Notenliste!$B$33)," ")</f>
        <v xml:space="preserve"> </v>
      </c>
      <c r="D7" s="62" t="str">
        <f>IF(Notenliste!D7=0," ",IF(Notenliste!F7="KP"," ",IF(Notenliste!F7="NB","nicht bestanden",IF(OR(Notenliste!H7="x", Notenliste!H7="X"),"bestanden",Notenliste!F7))))</f>
        <v xml:space="preserve"> </v>
      </c>
      <c r="E7" s="63" t="str">
        <f>IF(Notenliste!D7&lt;&gt;0,Notenliste!$B$48," ")</f>
        <v xml:space="preserve"> </v>
      </c>
      <c r="F7" s="37"/>
      <c r="G7" s="37"/>
      <c r="H7" s="37"/>
    </row>
    <row r="8" spans="1:8" x14ac:dyDescent="0.25">
      <c r="A8" s="38" t="str">
        <f>IF(Notenliste!D8=0," ",Notenliste!D8)</f>
        <v xml:space="preserve"> </v>
      </c>
      <c r="B8" s="37"/>
      <c r="C8" s="37" t="str">
        <f>IF(Notenliste!D8&lt;&gt;0,IF(Notenliste!I8&lt;&gt;0,Notenliste!I8,Notenliste!$B$33)," ")</f>
        <v xml:space="preserve"> </v>
      </c>
      <c r="D8" s="62" t="str">
        <f>IF(Notenliste!D8=0," ",IF(Notenliste!F8="KP"," ",IF(Notenliste!F8="NB","nicht bestanden",IF(OR(Notenliste!H8="x", Notenliste!H8="X"),"bestanden",Notenliste!F8))))</f>
        <v xml:space="preserve"> </v>
      </c>
      <c r="E8" s="63" t="str">
        <f>IF(Notenliste!D8&lt;&gt;0,Notenliste!$B$48," ")</f>
        <v xml:space="preserve"> </v>
      </c>
      <c r="F8" s="37"/>
      <c r="G8" s="37"/>
      <c r="H8" s="37"/>
    </row>
    <row r="9" spans="1:8" x14ac:dyDescent="0.25">
      <c r="A9" s="38" t="str">
        <f>IF(Notenliste!D9=0," ",Notenliste!D9)</f>
        <v xml:space="preserve"> </v>
      </c>
      <c r="B9" s="37"/>
      <c r="C9" s="37" t="str">
        <f>IF(Notenliste!D9&lt;&gt;0,IF(Notenliste!I9&lt;&gt;0,Notenliste!I9,Notenliste!$B$33)," ")</f>
        <v xml:space="preserve"> </v>
      </c>
      <c r="D9" s="62" t="str">
        <f>IF(Notenliste!D9=0," ",IF(Notenliste!F9="KP"," ",IF(Notenliste!F9="NB","nicht bestanden",IF(OR(Notenliste!H9="x", Notenliste!H9="X"),"bestanden",Notenliste!F9))))</f>
        <v xml:space="preserve"> </v>
      </c>
      <c r="E9" s="63" t="str">
        <f>IF(Notenliste!D9&lt;&gt;0,Notenliste!$B$48," ")</f>
        <v xml:space="preserve"> </v>
      </c>
      <c r="F9" s="37"/>
      <c r="G9" s="37"/>
      <c r="H9" s="37"/>
    </row>
    <row r="10" spans="1:8" x14ac:dyDescent="0.25">
      <c r="A10" s="38" t="str">
        <f>IF(Notenliste!D10=0," ",Notenliste!D10)</f>
        <v xml:space="preserve"> </v>
      </c>
      <c r="B10" s="37"/>
      <c r="C10" s="37" t="str">
        <f>IF(Notenliste!D10&lt;&gt;0,IF(Notenliste!I10&lt;&gt;0,Notenliste!I10,Notenliste!$B$33)," ")</f>
        <v xml:space="preserve"> </v>
      </c>
      <c r="D10" s="62" t="str">
        <f>IF(Notenliste!D10=0," ",IF(Notenliste!F10="KP"," ",IF(Notenliste!F10="NB","nicht bestanden",IF(OR(Notenliste!H10="x", Notenliste!H10="X"),"bestanden",Notenliste!F10))))</f>
        <v xml:space="preserve"> </v>
      </c>
      <c r="E10" s="63" t="str">
        <f>IF(Notenliste!D10&lt;&gt;0,Notenliste!$B$48," ")</f>
        <v xml:space="preserve"> </v>
      </c>
      <c r="F10" s="37"/>
      <c r="G10" s="37"/>
      <c r="H10" s="37"/>
    </row>
    <row r="11" spans="1:8" x14ac:dyDescent="0.25">
      <c r="A11" s="38" t="str">
        <f>IF(Notenliste!D11=0," ",Notenliste!D11)</f>
        <v xml:space="preserve"> </v>
      </c>
      <c r="B11" s="37"/>
      <c r="C11" s="37" t="str">
        <f>IF(Notenliste!D11&lt;&gt;0,IF(Notenliste!I11&lt;&gt;0,Notenliste!I11,Notenliste!$B$33)," ")</f>
        <v xml:space="preserve"> </v>
      </c>
      <c r="D11" s="62" t="str">
        <f>IF(Notenliste!D11=0," ",IF(Notenliste!F11="KP"," ",IF(Notenliste!F11="NB","nicht bestanden",IF(OR(Notenliste!H11="x", Notenliste!H11="X"),"bestanden",Notenliste!F11))))</f>
        <v xml:space="preserve"> </v>
      </c>
      <c r="E11" s="63" t="str">
        <f>IF(Notenliste!D11&lt;&gt;0,Notenliste!$B$48," ")</f>
        <v xml:space="preserve"> </v>
      </c>
      <c r="F11" s="37"/>
      <c r="G11" s="37"/>
      <c r="H11" s="37"/>
    </row>
    <row r="12" spans="1:8" x14ac:dyDescent="0.25">
      <c r="A12" s="38" t="str">
        <f>IF(Notenliste!D12=0," ",Notenliste!D12)</f>
        <v xml:space="preserve"> </v>
      </c>
      <c r="B12" s="37"/>
      <c r="C12" s="37" t="str">
        <f>IF(Notenliste!D12&lt;&gt;0,IF(Notenliste!I12&lt;&gt;0,Notenliste!I12,Notenliste!$B$33)," ")</f>
        <v xml:space="preserve"> </v>
      </c>
      <c r="D12" s="62" t="str">
        <f>IF(Notenliste!D12=0," ",IF(Notenliste!F12="KP"," ",IF(Notenliste!F12="NB","nicht bestanden",IF(OR(Notenliste!H12="x", Notenliste!H12="X"),"bestanden",Notenliste!F12))))</f>
        <v xml:space="preserve"> </v>
      </c>
      <c r="E12" s="63" t="str">
        <f>IF(Notenliste!D12&lt;&gt;0,Notenliste!$B$48," ")</f>
        <v xml:space="preserve"> </v>
      </c>
      <c r="F12" s="37"/>
      <c r="G12" s="37"/>
      <c r="H12" s="37"/>
    </row>
    <row r="13" spans="1:8" x14ac:dyDescent="0.25">
      <c r="A13" s="38" t="str">
        <f>IF(Notenliste!D13=0," ",Notenliste!D13)</f>
        <v xml:space="preserve"> </v>
      </c>
      <c r="B13" s="37"/>
      <c r="C13" s="37" t="str">
        <f>IF(Notenliste!D13&lt;&gt;0,IF(Notenliste!I13&lt;&gt;0,Notenliste!I13,Notenliste!$B$33)," ")</f>
        <v xml:space="preserve"> </v>
      </c>
      <c r="D13" s="62" t="str">
        <f>IF(Notenliste!D13=0," ",IF(Notenliste!F13="KP"," ",IF(Notenliste!F13="NB","nicht bestanden",IF(OR(Notenliste!H13="x", Notenliste!H13="X"),"bestanden",Notenliste!F13))))</f>
        <v xml:space="preserve"> </v>
      </c>
      <c r="E13" s="63" t="str">
        <f>IF(Notenliste!D13&lt;&gt;0,Notenliste!$B$48," ")</f>
        <v xml:space="preserve"> </v>
      </c>
      <c r="F13" s="37"/>
      <c r="G13" s="37"/>
      <c r="H13" s="37"/>
    </row>
    <row r="14" spans="1:8" x14ac:dyDescent="0.25">
      <c r="A14" s="38" t="str">
        <f>IF(Notenliste!D14=0," ",Notenliste!D14)</f>
        <v xml:space="preserve"> </v>
      </c>
      <c r="B14" s="37"/>
      <c r="C14" s="37" t="str">
        <f>IF(Notenliste!D14&lt;&gt;0,IF(Notenliste!I14&lt;&gt;0,Notenliste!I14,Notenliste!$B$33)," ")</f>
        <v xml:space="preserve"> </v>
      </c>
      <c r="D14" s="62" t="str">
        <f>IF(Notenliste!D14=0," ",IF(Notenliste!F14="KP"," ",IF(Notenliste!F14="NB","nicht bestanden",IF(OR(Notenliste!H14="x", Notenliste!H14="X"),"bestanden",Notenliste!F14))))</f>
        <v xml:space="preserve"> </v>
      </c>
      <c r="E14" s="63" t="str">
        <f>IF(Notenliste!D14&lt;&gt;0,Notenliste!$B$48," ")</f>
        <v xml:space="preserve"> </v>
      </c>
      <c r="F14" s="37"/>
      <c r="G14" s="37"/>
      <c r="H14" s="37"/>
    </row>
    <row r="15" spans="1:8" x14ac:dyDescent="0.25">
      <c r="A15" s="38" t="str">
        <f>IF(Notenliste!D15=0," ",Notenliste!D15)</f>
        <v xml:space="preserve"> </v>
      </c>
      <c r="B15" s="37"/>
      <c r="C15" s="37" t="str">
        <f>IF(Notenliste!D15&lt;&gt;0,IF(Notenliste!I15&lt;&gt;0,Notenliste!I15,Notenliste!$B$33)," ")</f>
        <v xml:space="preserve"> </v>
      </c>
      <c r="D15" s="62" t="str">
        <f>IF(Notenliste!D15=0," ",IF(Notenliste!F15="KP"," ",IF(Notenliste!F15="NB","nicht bestanden",IF(OR(Notenliste!H15="x", Notenliste!H15="X"),"bestanden",Notenliste!F15))))</f>
        <v xml:space="preserve"> </v>
      </c>
      <c r="E15" s="63" t="str">
        <f>IF(Notenliste!D15&lt;&gt;0,Notenliste!$B$48," ")</f>
        <v xml:space="preserve"> </v>
      </c>
      <c r="F15" s="37"/>
      <c r="G15" s="37"/>
      <c r="H15" s="37"/>
    </row>
    <row r="16" spans="1:8" x14ac:dyDescent="0.25">
      <c r="A16" s="38" t="str">
        <f>IF(Notenliste!D16=0," ",Notenliste!D16)</f>
        <v xml:space="preserve"> </v>
      </c>
      <c r="B16" s="37"/>
      <c r="C16" s="37" t="str">
        <f>IF(Notenliste!D16&lt;&gt;0,IF(Notenliste!I16&lt;&gt;0,Notenliste!I16,Notenliste!$B$33)," ")</f>
        <v xml:space="preserve"> </v>
      </c>
      <c r="D16" s="62" t="str">
        <f>IF(Notenliste!D16=0," ",IF(Notenliste!F16="KP"," ",IF(Notenliste!F16="NB","nicht bestanden",IF(OR(Notenliste!H16="x", Notenliste!H16="X"),"bestanden",Notenliste!F16))))</f>
        <v xml:space="preserve"> </v>
      </c>
      <c r="E16" s="63" t="str">
        <f>IF(Notenliste!D16&lt;&gt;0,Notenliste!$B$48," ")</f>
        <v xml:space="preserve"> </v>
      </c>
      <c r="F16" s="37"/>
      <c r="G16" s="37"/>
      <c r="H16" s="37"/>
    </row>
    <row r="17" spans="1:8" x14ac:dyDescent="0.25">
      <c r="A17" s="38" t="str">
        <f>IF(Notenliste!D17=0," ",Notenliste!D17)</f>
        <v xml:space="preserve"> </v>
      </c>
      <c r="B17" s="37"/>
      <c r="C17" s="37" t="str">
        <f>IF(Notenliste!D17&lt;&gt;0,IF(Notenliste!I17&lt;&gt;0,Notenliste!I17,Notenliste!$B$33)," ")</f>
        <v xml:space="preserve"> </v>
      </c>
      <c r="D17" s="62" t="str">
        <f>IF(Notenliste!D17=0," ",IF(Notenliste!F17="KP"," ",IF(Notenliste!F17="NB","nicht bestanden",IF(OR(Notenliste!H17="x", Notenliste!H17="X"),"bestanden",Notenliste!F17))))</f>
        <v xml:space="preserve"> </v>
      </c>
      <c r="E17" s="63" t="str">
        <f>IF(Notenliste!D17&lt;&gt;0,Notenliste!$B$48," ")</f>
        <v xml:space="preserve"> </v>
      </c>
      <c r="F17" s="37"/>
      <c r="G17" s="37"/>
      <c r="H17" s="37"/>
    </row>
    <row r="18" spans="1:8" x14ac:dyDescent="0.25">
      <c r="A18" s="38" t="str">
        <f>IF(Notenliste!D18=0," ",Notenliste!D18)</f>
        <v xml:space="preserve"> </v>
      </c>
      <c r="B18" s="37"/>
      <c r="C18" s="37" t="str">
        <f>IF(Notenliste!D18&lt;&gt;0,IF(Notenliste!I18&lt;&gt;0,Notenliste!I18,Notenliste!$B$33)," ")</f>
        <v xml:space="preserve"> </v>
      </c>
      <c r="D18" s="62" t="str">
        <f>IF(Notenliste!D18=0," ",IF(Notenliste!F18="KP"," ",IF(Notenliste!F18="NB","nicht bestanden",IF(OR(Notenliste!H18="x", Notenliste!H18="X"),"bestanden",Notenliste!F18))))</f>
        <v xml:space="preserve"> </v>
      </c>
      <c r="E18" s="63" t="str">
        <f>IF(Notenliste!D18&lt;&gt;0,Notenliste!$B$48," ")</f>
        <v xml:space="preserve"> </v>
      </c>
      <c r="F18" s="37"/>
      <c r="G18" s="37"/>
      <c r="H18" s="37"/>
    </row>
    <row r="19" spans="1:8" x14ac:dyDescent="0.25">
      <c r="A19" s="38" t="str">
        <f>IF(Notenliste!D19=0," ",Notenliste!D19)</f>
        <v xml:space="preserve"> </v>
      </c>
      <c r="B19" s="37"/>
      <c r="C19" s="37" t="str">
        <f>IF(Notenliste!D19&lt;&gt;0,IF(Notenliste!I19&lt;&gt;0,Notenliste!I19,Notenliste!$B$33)," ")</f>
        <v xml:space="preserve"> </v>
      </c>
      <c r="D19" s="62" t="str">
        <f>IF(Notenliste!D19=0," ",IF(Notenliste!F19="KP"," ",IF(Notenliste!F19="NB","nicht bestanden",IF(OR(Notenliste!H19="x", Notenliste!H19="X"),"bestanden",Notenliste!F19))))</f>
        <v xml:space="preserve"> </v>
      </c>
      <c r="E19" s="63" t="str">
        <f>IF(Notenliste!D19&lt;&gt;0,Notenliste!$B$48," ")</f>
        <v xml:space="preserve"> </v>
      </c>
      <c r="F19" s="37"/>
      <c r="G19" s="37"/>
      <c r="H19" s="37"/>
    </row>
    <row r="20" spans="1:8" x14ac:dyDescent="0.25">
      <c r="A20" s="38" t="str">
        <f>IF(Notenliste!D20=0," ",Notenliste!D20)</f>
        <v xml:space="preserve"> </v>
      </c>
      <c r="B20" s="37"/>
      <c r="C20" s="37" t="str">
        <f>IF(Notenliste!D20&lt;&gt;0,IF(Notenliste!I20&lt;&gt;0,Notenliste!I20,Notenliste!$B$33)," ")</f>
        <v xml:space="preserve"> </v>
      </c>
      <c r="D20" s="62" t="str">
        <f>IF(Notenliste!D20=0," ",IF(Notenliste!F20="KP"," ",IF(Notenliste!F20="NB","nicht bestanden",IF(OR(Notenliste!H20="x", Notenliste!H20="X"),"bestanden",Notenliste!F20))))</f>
        <v xml:space="preserve"> </v>
      </c>
      <c r="E20" s="63" t="str">
        <f>IF(Notenliste!D20&lt;&gt;0,Notenliste!$B$48," ")</f>
        <v xml:space="preserve"> </v>
      </c>
      <c r="F20" s="37"/>
      <c r="G20" s="37"/>
      <c r="H20" s="37"/>
    </row>
    <row r="21" spans="1:8" x14ac:dyDescent="0.25">
      <c r="A21" s="38" t="str">
        <f>IF(Notenliste!D21=0," ",Notenliste!D21)</f>
        <v xml:space="preserve"> </v>
      </c>
      <c r="B21" s="37"/>
      <c r="C21" s="37" t="str">
        <f>IF(Notenliste!D21&lt;&gt;0,IF(Notenliste!I21&lt;&gt;0,Notenliste!I21,Notenliste!$B$33)," ")</f>
        <v xml:space="preserve"> </v>
      </c>
      <c r="D21" s="62" t="str">
        <f>IF(Notenliste!D21=0," ",IF(Notenliste!F21="KP"," ",IF(Notenliste!F21="NB","nicht bestanden",IF(OR(Notenliste!H21="x", Notenliste!H21="X"),"bestanden",Notenliste!F21))))</f>
        <v xml:space="preserve"> </v>
      </c>
      <c r="E21" s="63" t="str">
        <f>IF(Notenliste!D21&lt;&gt;0,Notenliste!$B$48," ")</f>
        <v xml:space="preserve"> </v>
      </c>
      <c r="F21" s="37"/>
      <c r="G21" s="37"/>
      <c r="H21" s="37"/>
    </row>
    <row r="22" spans="1:8" x14ac:dyDescent="0.25">
      <c r="A22" s="38" t="str">
        <f>IF(Notenliste!D22=0," ",Notenliste!D22)</f>
        <v xml:space="preserve"> </v>
      </c>
      <c r="B22" s="37"/>
      <c r="C22" s="37" t="str">
        <f>IF(Notenliste!D22&lt;&gt;0,IF(Notenliste!I22&lt;&gt;0,Notenliste!I22,Notenliste!$B$33)," ")</f>
        <v xml:space="preserve"> </v>
      </c>
      <c r="D22" s="62" t="str">
        <f>IF(Notenliste!D22=0," ",IF(Notenliste!F22="KP"," ",IF(Notenliste!F22="NB","nicht bestanden",IF(OR(Notenliste!H22="x", Notenliste!H22="X"),"bestanden",Notenliste!F22))))</f>
        <v xml:space="preserve"> </v>
      </c>
      <c r="E22" s="63" t="str">
        <f>IF(Notenliste!D22&lt;&gt;0,Notenliste!$B$48," ")</f>
        <v xml:space="preserve"> </v>
      </c>
      <c r="F22" s="37"/>
      <c r="G22" s="37"/>
      <c r="H22" s="37"/>
    </row>
    <row r="23" spans="1:8" x14ac:dyDescent="0.25">
      <c r="A23" s="38" t="str">
        <f>IF(Notenliste!D23=0," ",Notenliste!D23)</f>
        <v xml:space="preserve"> </v>
      </c>
      <c r="B23" s="37"/>
      <c r="C23" s="37" t="str">
        <f>IF(Notenliste!D23&lt;&gt;0,IF(Notenliste!I23&lt;&gt;0,Notenliste!I23,Notenliste!$B$33)," ")</f>
        <v xml:space="preserve"> </v>
      </c>
      <c r="D23" s="62" t="str">
        <f>IF(Notenliste!D23=0," ",IF(Notenliste!F23="KP"," ",IF(Notenliste!F23="NB","nicht bestanden",IF(OR(Notenliste!H23="x", Notenliste!H23="X"),"bestanden",Notenliste!F23))))</f>
        <v xml:space="preserve"> </v>
      </c>
      <c r="E23" s="63" t="str">
        <f>IF(Notenliste!D23&lt;&gt;0,Notenliste!$B$48," ")</f>
        <v xml:space="preserve"> </v>
      </c>
      <c r="F23" s="37"/>
      <c r="G23" s="37"/>
      <c r="H23" s="37"/>
    </row>
    <row r="24" spans="1:8" x14ac:dyDescent="0.25">
      <c r="A24" s="38" t="str">
        <f>IF(Notenliste!D24=0," ",Notenliste!D24)</f>
        <v xml:space="preserve"> </v>
      </c>
      <c r="B24" s="37"/>
      <c r="C24" s="37" t="str">
        <f>IF(Notenliste!D24&lt;&gt;0,IF(Notenliste!I24&lt;&gt;0,Notenliste!I24,Notenliste!$B$33)," ")</f>
        <v xml:space="preserve"> </v>
      </c>
      <c r="D24" s="62" t="str">
        <f>IF(Notenliste!D24=0," ",IF(Notenliste!F24="KP"," ",IF(Notenliste!F24="NB","nicht bestanden",IF(OR(Notenliste!H24="x", Notenliste!H24="X"),"bestanden",Notenliste!F24))))</f>
        <v xml:space="preserve"> </v>
      </c>
      <c r="E24" s="63" t="str">
        <f>IF(Notenliste!D24&lt;&gt;0,Notenliste!$B$48," ")</f>
        <v xml:space="preserve"> </v>
      </c>
      <c r="F24" s="37"/>
      <c r="G24" s="37"/>
      <c r="H24" s="37"/>
    </row>
    <row r="25" spans="1:8" x14ac:dyDescent="0.25">
      <c r="A25" s="38" t="str">
        <f>IF(Notenliste!D25=0," ",Notenliste!D25)</f>
        <v xml:space="preserve"> </v>
      </c>
      <c r="B25" s="37"/>
      <c r="C25" s="37" t="str">
        <f>IF(Notenliste!D25&lt;&gt;0,IF(Notenliste!I25&lt;&gt;0,Notenliste!I25,Notenliste!$B$33)," ")</f>
        <v xml:space="preserve"> </v>
      </c>
      <c r="D25" s="62" t="str">
        <f>IF(Notenliste!D25=0," ",IF(Notenliste!F25="KP"," ",IF(Notenliste!F25="NB","nicht bestanden",IF(OR(Notenliste!H25="x", Notenliste!H25="X"),"bestanden",Notenliste!F25))))</f>
        <v xml:space="preserve"> </v>
      </c>
      <c r="E25" s="63" t="str">
        <f>IF(Notenliste!D25&lt;&gt;0,Notenliste!$B$48," ")</f>
        <v xml:space="preserve"> </v>
      </c>
      <c r="F25" s="37"/>
      <c r="G25" s="37"/>
      <c r="H25" s="37"/>
    </row>
    <row r="26" spans="1:8" x14ac:dyDescent="0.25">
      <c r="A26" s="38" t="str">
        <f>IF(Notenliste!D26=0," ",Notenliste!D26)</f>
        <v xml:space="preserve"> </v>
      </c>
      <c r="B26" s="37"/>
      <c r="C26" s="37" t="str">
        <f>IF(Notenliste!D26&lt;&gt;0,IF(Notenliste!I26&lt;&gt;0,Notenliste!I26,Notenliste!$B$33)," ")</f>
        <v xml:space="preserve"> </v>
      </c>
      <c r="D26" s="62" t="str">
        <f>IF(Notenliste!D26=0," ",IF(Notenliste!F26="KP"," ",IF(Notenliste!F26="NB","nicht bestanden",IF(OR(Notenliste!H26="x", Notenliste!H26="X"),"bestanden",Notenliste!F26))))</f>
        <v xml:space="preserve"> </v>
      </c>
      <c r="E26" s="63" t="str">
        <f>IF(Notenliste!D26&lt;&gt;0,Notenliste!$B$48," ")</f>
        <v xml:space="preserve"> </v>
      </c>
      <c r="F26" s="37"/>
      <c r="G26" s="37"/>
      <c r="H26" s="37"/>
    </row>
    <row r="27" spans="1:8" x14ac:dyDescent="0.25">
      <c r="A27" s="38" t="str">
        <f>IF(Notenliste!D27=0," ",Notenliste!D27)</f>
        <v xml:space="preserve"> </v>
      </c>
      <c r="B27" s="37"/>
      <c r="C27" s="37" t="str">
        <f>IF(Notenliste!D27&lt;&gt;0,IF(Notenliste!I27&lt;&gt;0,Notenliste!I27,Notenliste!$B$33)," ")</f>
        <v xml:space="preserve"> </v>
      </c>
      <c r="D27" s="62" t="str">
        <f>IF(Notenliste!D27=0," ",IF(Notenliste!F27="KP"," ",IF(Notenliste!F27="NB","nicht bestanden",IF(OR(Notenliste!H27="x", Notenliste!H27="X"),"bestanden",Notenliste!F27))))</f>
        <v xml:space="preserve"> </v>
      </c>
      <c r="E27" s="63" t="str">
        <f>IF(Notenliste!D27&lt;&gt;0,Notenliste!$B$48," ")</f>
        <v xml:space="preserve"> </v>
      </c>
      <c r="F27" s="37"/>
      <c r="G27" s="37"/>
      <c r="H27" s="37"/>
    </row>
    <row r="28" spans="1:8" x14ac:dyDescent="0.25">
      <c r="A28" s="38" t="str">
        <f>IF(Notenliste!D28=0," ",Notenliste!D28)</f>
        <v xml:space="preserve"> </v>
      </c>
      <c r="B28" s="37"/>
      <c r="C28" s="37" t="str">
        <f>IF(Notenliste!D28&lt;&gt;0,IF(Notenliste!I28&lt;&gt;0,Notenliste!I28,Notenliste!$B$33)," ")</f>
        <v xml:space="preserve"> </v>
      </c>
      <c r="D28" s="62" t="str">
        <f>IF(Notenliste!D28=0," ",IF(Notenliste!F28="KP"," ",IF(Notenliste!F28="NB","nicht bestanden",IF(OR(Notenliste!H28="x", Notenliste!H28="X"),"bestanden",Notenliste!F28))))</f>
        <v xml:space="preserve"> </v>
      </c>
      <c r="E28" s="63" t="str">
        <f>IF(Notenliste!D28&lt;&gt;0,Notenliste!$B$48," ")</f>
        <v xml:space="preserve"> </v>
      </c>
      <c r="F28" s="37"/>
      <c r="G28" s="37"/>
      <c r="H28" s="37"/>
    </row>
    <row r="29" spans="1:8" x14ac:dyDescent="0.25">
      <c r="A29" s="38" t="str">
        <f>IF(Notenliste!D29=0," ",Notenliste!D29)</f>
        <v xml:space="preserve"> </v>
      </c>
      <c r="B29" s="37"/>
      <c r="C29" s="37" t="str">
        <f>IF(Notenliste!D29&lt;&gt;0,IF(Notenliste!I29&lt;&gt;0,Notenliste!I29,Notenliste!$B$33)," ")</f>
        <v xml:space="preserve"> </v>
      </c>
      <c r="D29" s="62" t="str">
        <f>IF(Notenliste!D29=0," ",IF(Notenliste!F29="KP"," ",IF(Notenliste!F29="NB","nicht bestanden",IF(OR(Notenliste!H29="x", Notenliste!H29="X"),"bestanden",Notenliste!F29))))</f>
        <v xml:space="preserve"> </v>
      </c>
      <c r="E29" s="63" t="str">
        <f>IF(Notenliste!D29&lt;&gt;0,Notenliste!$B$48," ")</f>
        <v xml:space="preserve"> </v>
      </c>
      <c r="F29" s="37"/>
      <c r="G29" s="37"/>
      <c r="H29" s="37"/>
    </row>
    <row r="30" spans="1:8" x14ac:dyDescent="0.25">
      <c r="A30" s="38" t="str">
        <f>IF(Notenliste!D30=0," ",Notenliste!D30)</f>
        <v xml:space="preserve"> </v>
      </c>
      <c r="B30" s="37"/>
      <c r="C30" s="37" t="str">
        <f>IF(Notenliste!D30&lt;&gt;0,IF(Notenliste!I30&lt;&gt;0,Notenliste!I30,Notenliste!$B$33)," ")</f>
        <v xml:space="preserve"> </v>
      </c>
      <c r="D30" s="62" t="str">
        <f>IF(Notenliste!D30=0," ",IF(Notenliste!F30="KP"," ",IF(Notenliste!F30="NB","nicht bestanden",IF(OR(Notenliste!H30="x", Notenliste!H30="X"),"bestanden",Notenliste!F30))))</f>
        <v xml:space="preserve"> </v>
      </c>
      <c r="E30" s="63" t="str">
        <f>IF(Notenliste!D30&lt;&gt;0,Notenliste!$B$48," ")</f>
        <v xml:space="preserve"> </v>
      </c>
      <c r="F30" s="37"/>
      <c r="G30" s="37"/>
      <c r="H30" s="37"/>
    </row>
    <row r="31" spans="1:8" x14ac:dyDescent="0.25">
      <c r="A31" s="38" t="str">
        <f>IF(Notenliste!D31=0," ",Notenliste!D31)</f>
        <v xml:space="preserve"> </v>
      </c>
      <c r="B31" s="37"/>
      <c r="C31" s="37" t="str">
        <f>IF(Notenliste!D31&lt;&gt;0,IF(Notenliste!I31&lt;&gt;0,Notenliste!I31,Notenliste!$B$33)," ")</f>
        <v xml:space="preserve"> </v>
      </c>
      <c r="D31" s="62" t="str">
        <f>IF(Notenliste!D31=0," ",IF(Notenliste!F31="KP"," ",IF(Notenliste!F31="NB","nicht bestanden",IF(OR(Notenliste!H31="x", Notenliste!H31="X"),"bestanden",Notenliste!F31))))</f>
        <v xml:space="preserve"> </v>
      </c>
      <c r="E31" s="63" t="str">
        <f>IF(Notenliste!D31&lt;&gt;0,Notenliste!$B$48," ")</f>
        <v xml:space="preserve"> </v>
      </c>
      <c r="F31" s="37"/>
      <c r="G31" s="37"/>
      <c r="H31" s="37"/>
    </row>
    <row r="32" spans="1:8" x14ac:dyDescent="0.25">
      <c r="A32" s="38" t="str">
        <f>IF(Notenliste!D32=0," ",Notenliste!D32)</f>
        <v xml:space="preserve"> </v>
      </c>
      <c r="B32" s="37"/>
      <c r="C32" s="37" t="str">
        <f>IF(Notenliste!D32&lt;&gt;0,IF(Notenliste!I32&lt;&gt;0,Notenliste!I32,Notenliste!$B$33)," ")</f>
        <v xml:space="preserve"> </v>
      </c>
      <c r="D32" s="62" t="str">
        <f>IF(Notenliste!D32=0," ",IF(Notenliste!F32="KP"," ",IF(Notenliste!F32="NB","nicht bestanden",IF(OR(Notenliste!H32="x", Notenliste!H32="X"),"bestanden",Notenliste!F32))))</f>
        <v xml:space="preserve"> </v>
      </c>
      <c r="E32" s="63" t="str">
        <f>IF(Notenliste!D32&lt;&gt;0,Notenliste!$B$48," ")</f>
        <v xml:space="preserve"> </v>
      </c>
      <c r="F32" s="37"/>
      <c r="G32" s="37"/>
      <c r="H32" s="37"/>
    </row>
    <row r="33" spans="1:8" x14ac:dyDescent="0.25">
      <c r="A33" s="38" t="str">
        <f>IF(Notenliste!D33=0," ",Notenliste!D33)</f>
        <v xml:space="preserve"> </v>
      </c>
      <c r="B33" s="37"/>
      <c r="C33" s="37" t="str">
        <f>IF(Notenliste!D33&lt;&gt;0,IF(Notenliste!I33&lt;&gt;0,Notenliste!I33,Notenliste!$B$33)," ")</f>
        <v xml:space="preserve"> </v>
      </c>
      <c r="D33" s="62" t="str">
        <f>IF(Notenliste!D33=0," ",IF(Notenliste!F33="KP"," ",IF(Notenliste!F33="NB","nicht bestanden",IF(OR(Notenliste!H33="x", Notenliste!H33="X"),"bestanden",Notenliste!F33))))</f>
        <v xml:space="preserve"> </v>
      </c>
      <c r="E33" s="63" t="str">
        <f>IF(Notenliste!D33&lt;&gt;0,Notenliste!$B$48," ")</f>
        <v xml:space="preserve"> </v>
      </c>
      <c r="F33" s="37"/>
      <c r="G33" s="37"/>
      <c r="H33" s="37"/>
    </row>
    <row r="34" spans="1:8" x14ac:dyDescent="0.25">
      <c r="A34" s="38" t="str">
        <f>IF(Notenliste!D34=0," ",Notenliste!D34)</f>
        <v xml:space="preserve"> </v>
      </c>
      <c r="B34" s="37"/>
      <c r="C34" s="37" t="str">
        <f>IF(Notenliste!D34&lt;&gt;0,IF(Notenliste!I34&lt;&gt;0,Notenliste!I34,Notenliste!$B$33)," ")</f>
        <v xml:space="preserve"> </v>
      </c>
      <c r="D34" s="62" t="str">
        <f>IF(Notenliste!D34=0," ",IF(Notenliste!F34="KP"," ",IF(Notenliste!F34="NB","nicht bestanden",IF(OR(Notenliste!H34="x", Notenliste!H34="X"),"bestanden",Notenliste!F34))))</f>
        <v xml:space="preserve"> </v>
      </c>
      <c r="E34" s="63" t="str">
        <f>IF(Notenliste!D34&lt;&gt;0,Notenliste!$B$48," ")</f>
        <v xml:space="preserve"> </v>
      </c>
      <c r="F34" s="37"/>
      <c r="G34" s="37"/>
      <c r="H34" s="37"/>
    </row>
    <row r="35" spans="1:8" x14ac:dyDescent="0.25">
      <c r="A35" s="38" t="str">
        <f>IF(Notenliste!D35=0," ",Notenliste!D35)</f>
        <v xml:space="preserve"> </v>
      </c>
      <c r="B35" s="37"/>
      <c r="C35" s="37" t="str">
        <f>IF(Notenliste!D35&lt;&gt;0,IF(Notenliste!I35&lt;&gt;0,Notenliste!I35,Notenliste!$B$33)," ")</f>
        <v xml:space="preserve"> </v>
      </c>
      <c r="D35" s="62" t="str">
        <f>IF(Notenliste!D35=0," ",IF(Notenliste!F35="KP"," ",IF(Notenliste!F35="NB","nicht bestanden",IF(OR(Notenliste!H35="x", Notenliste!H35="X"),"bestanden",Notenliste!F35))))</f>
        <v xml:space="preserve"> </v>
      </c>
      <c r="E35" s="63" t="str">
        <f>IF(Notenliste!D35&lt;&gt;0,Notenliste!$B$48," ")</f>
        <v xml:space="preserve"> </v>
      </c>
      <c r="F35" s="37"/>
      <c r="G35" s="37"/>
      <c r="H35" s="37"/>
    </row>
    <row r="36" spans="1:8" x14ac:dyDescent="0.25">
      <c r="A36" s="38" t="str">
        <f>IF(Notenliste!D36=0," ",Notenliste!D36)</f>
        <v xml:space="preserve"> </v>
      </c>
      <c r="B36" s="37"/>
      <c r="C36" s="37" t="str">
        <f>IF(Notenliste!D36&lt;&gt;0,IF(Notenliste!I36&lt;&gt;0,Notenliste!I36,Notenliste!$B$33)," ")</f>
        <v xml:space="preserve"> </v>
      </c>
      <c r="D36" s="62" t="str">
        <f>IF(Notenliste!D36=0," ",IF(Notenliste!F36="KP"," ",IF(Notenliste!F36="NB","nicht bestanden",IF(OR(Notenliste!H36="x", Notenliste!H36="X"),"bestanden",Notenliste!F36))))</f>
        <v xml:space="preserve"> </v>
      </c>
      <c r="E36" s="63" t="str">
        <f>IF(Notenliste!D36&lt;&gt;0,Notenliste!$B$48," ")</f>
        <v xml:space="preserve"> </v>
      </c>
      <c r="F36" s="37"/>
      <c r="G36" s="37"/>
      <c r="H36" s="37"/>
    </row>
  </sheetData>
  <sheetProtection sheet="1" objects="1" scenarios="1" insertRows="0" deleteRows="0" selectLockedCells="1" sort="0" autoFilter="0"/>
  <dataValidations disablePrompts="1" count="5">
    <dataValidation type="list" allowBlank="1" showInputMessage="1" showErrorMessage="1" sqref="B1">
      <formula1>Anmeldestatus</formula1>
    </dataValidation>
    <dataValidation type="list" allowBlank="1" showInputMessage="1" showErrorMessage="1" sqref="D1">
      <formula1>Notenskala</formula1>
    </dataValidation>
    <dataValidation type="decimal" allowBlank="1" showInputMessage="1" showErrorMessage="1" sqref="C1 C37:C1048576">
      <formula1>0</formula1>
      <formula2>120</formula2>
    </dataValidation>
    <dataValidation type="date" allowBlank="1" showInputMessage="1" showErrorMessage="1" sqref="E1 E37:E1048576">
      <formula1>41275</formula1>
      <formula2>73050</formula2>
    </dataValidation>
    <dataValidation type="whole" allowBlank="1" showInputMessage="1" showErrorMessage="1" sqref="A1 A37:A1048576">
      <formula1>0</formula1>
      <formula2>99999999</formula2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RAWDATA</vt:lpstr>
      <vt:lpstr>Notenliste</vt:lpstr>
      <vt:lpstr>Notenverteilung</vt:lpstr>
      <vt:lpstr>Printlist</vt:lpstr>
      <vt:lpstr>Paricipantlist</vt:lpstr>
      <vt:lpstr>Teilnehmer</vt:lpstr>
      <vt:lpstr>kursname</vt:lpstr>
      <vt:lpstr>semester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Spanisch</dc:title>
  <dc:creator>Elena Moya Royo</dc:creator>
  <cp:lastModifiedBy>Windows-Benutzer</cp:lastModifiedBy>
  <cp:lastPrinted>2025-03-13T12:07:39Z</cp:lastPrinted>
  <dcterms:created xsi:type="dcterms:W3CDTF">2013-02-04T17:25:48Z</dcterms:created>
  <dcterms:modified xsi:type="dcterms:W3CDTF">2026-02-09T12:44:53Z</dcterms:modified>
</cp:coreProperties>
</file>