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updateLinks="never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urvdp\Documents\Datenbank\excel_templates\"/>
    </mc:Choice>
  </mc:AlternateContent>
  <bookViews>
    <workbookView xWindow="-105" yWindow="-105" windowWidth="23250" windowHeight="12450" firstSheet="1" activeTab="1"/>
  </bookViews>
  <sheets>
    <sheet name="RAWDATA" sheetId="11" r:id="rId1"/>
    <sheet name="Notenliste" sheetId="9" r:id="rId2"/>
    <sheet name="Extrapunkte" sheetId="16" r:id="rId3"/>
    <sheet name="Notenverteilung" sheetId="8" r:id="rId4"/>
    <sheet name="Printlist" sheetId="10" r:id="rId5"/>
    <sheet name="Paricipantlist" sheetId="12" r:id="rId6"/>
    <sheet name="Teilnehmer" sheetId="14" r:id="rId7"/>
    <sheet name="Einstellungen" sheetId="15" r:id="rId8"/>
  </sheets>
  <definedNames>
    <definedName name="_xlnm._FilterDatabase" localSheetId="1" hidden="1">Notenliste!$H$1:$M$29</definedName>
    <definedName name="DOZENT">OFFSET(Einstellungen!$F$2,,,COUNTIF(Einstellungen!$F$2:$F$20,"&gt;"""),)</definedName>
    <definedName name="_xlnm.Print_Area" localSheetId="2">Extrapunkte!$A$1:$J$30</definedName>
    <definedName name="ECTS">OFFSET(Einstellungen!$H$2,,,COUNTIF(Einstellungen!$H$2:$H$20,"&gt;"""),)</definedName>
    <definedName name="KURSNAME">OFFSET(Einstellungen!$A$2,,,COUNTIF(Einstellungen!$A$2:$A$20,"&gt;"""),)</definedName>
    <definedName name="NIVEAU">OFFSET(Einstellungen!$D$2,,,COUNTIF(Einstellungen!$D$2:$D$22,"&gt;"""),)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" i="9"/>
  <c r="M2" i="9" l="1"/>
  <c r="J3" i="16"/>
  <c r="D4" i="16" l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D3" i="16"/>
  <c r="C3" i="16"/>
  <c r="B3" i="16"/>
  <c r="A3" i="16"/>
  <c r="M27" i="9" l="1"/>
  <c r="K26" i="9"/>
  <c r="K20" i="9"/>
  <c r="J4" i="16" l="1"/>
  <c r="L3" i="9" s="1"/>
  <c r="J5" i="16"/>
  <c r="L4" i="9" s="1"/>
  <c r="J6" i="16"/>
  <c r="L5" i="9" s="1"/>
  <c r="J7" i="16"/>
  <c r="L6" i="9" s="1"/>
  <c r="J8" i="16"/>
  <c r="L7" i="9" s="1"/>
  <c r="J9" i="16"/>
  <c r="L8" i="9" s="1"/>
  <c r="J10" i="16"/>
  <c r="L9" i="9" s="1"/>
  <c r="J11" i="16"/>
  <c r="L10" i="9" s="1"/>
  <c r="J12" i="16"/>
  <c r="L11" i="9" s="1"/>
  <c r="J13" i="16"/>
  <c r="L12" i="9" s="1"/>
  <c r="J14" i="16"/>
  <c r="L13" i="9" s="1"/>
  <c r="J15" i="16"/>
  <c r="L14" i="9" s="1"/>
  <c r="J16" i="16"/>
  <c r="L15" i="9" s="1"/>
  <c r="J17" i="16"/>
  <c r="L16" i="9" s="1"/>
  <c r="J18" i="16"/>
  <c r="L17" i="9" s="1"/>
  <c r="J19" i="16"/>
  <c r="L18" i="9" s="1"/>
  <c r="J20" i="16"/>
  <c r="L19" i="9" s="1"/>
  <c r="J21" i="16"/>
  <c r="L20" i="9" s="1"/>
  <c r="M20" i="9" s="1"/>
  <c r="J22" i="16"/>
  <c r="L21" i="9" s="1"/>
  <c r="J23" i="16"/>
  <c r="L22" i="9" s="1"/>
  <c r="J24" i="16"/>
  <c r="L23" i="9" s="1"/>
  <c r="J25" i="16"/>
  <c r="L24" i="9" s="1"/>
  <c r="J26" i="16"/>
  <c r="L25" i="9" s="1"/>
  <c r="J27" i="16"/>
  <c r="L26" i="9" s="1"/>
  <c r="M26" i="9" s="1"/>
  <c r="L2" i="9"/>
  <c r="A1" i="16" l="1"/>
  <c r="J29" i="16" l="1"/>
  <c r="J30" i="16" l="1"/>
  <c r="K3" i="9" l="1"/>
  <c r="M3" i="9" s="1"/>
  <c r="K4" i="9"/>
  <c r="M4" i="9" s="1"/>
  <c r="K5" i="9"/>
  <c r="M5" i="9" s="1"/>
  <c r="K6" i="9"/>
  <c r="M6" i="9" s="1"/>
  <c r="K7" i="9"/>
  <c r="M7" i="9" s="1"/>
  <c r="K8" i="9"/>
  <c r="M8" i="9" s="1"/>
  <c r="K9" i="9"/>
  <c r="M9" i="9" s="1"/>
  <c r="K10" i="9"/>
  <c r="M10" i="9" s="1"/>
  <c r="K11" i="9"/>
  <c r="M11" i="9" s="1"/>
  <c r="K12" i="9"/>
  <c r="M12" i="9" s="1"/>
  <c r="K13" i="9"/>
  <c r="M13" i="9" s="1"/>
  <c r="K14" i="9"/>
  <c r="M14" i="9" s="1"/>
  <c r="K15" i="9"/>
  <c r="M15" i="9" s="1"/>
  <c r="K16" i="9"/>
  <c r="M16" i="9" s="1"/>
  <c r="K17" i="9"/>
  <c r="M17" i="9" s="1"/>
  <c r="K18" i="9"/>
  <c r="M18" i="9" s="1"/>
  <c r="K19" i="9"/>
  <c r="M19" i="9" s="1"/>
  <c r="K21" i="9"/>
  <c r="M21" i="9" s="1"/>
  <c r="K22" i="9"/>
  <c r="M22" i="9" s="1"/>
  <c r="K23" i="9"/>
  <c r="M23" i="9" s="1"/>
  <c r="K24" i="9"/>
  <c r="M24" i="9" s="1"/>
  <c r="K25" i="9"/>
  <c r="M25" i="9" s="1"/>
  <c r="K2" i="9"/>
  <c r="J29" i="9" l="1"/>
  <c r="J28" i="9"/>
  <c r="L28" i="9"/>
  <c r="A1" i="12" l="1"/>
  <c r="A1" i="10"/>
  <c r="B6" i="12"/>
  <c r="D6" i="12" l="1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E30" i="12"/>
  <c r="C30" i="12"/>
  <c r="B30" i="12"/>
  <c r="E29" i="12"/>
  <c r="C29" i="12"/>
  <c r="B29" i="12"/>
  <c r="E28" i="12"/>
  <c r="C28" i="12"/>
  <c r="B28" i="12"/>
  <c r="E27" i="12"/>
  <c r="C27" i="12"/>
  <c r="B27" i="12"/>
  <c r="E26" i="12"/>
  <c r="C26" i="12"/>
  <c r="B26" i="12"/>
  <c r="E25" i="12"/>
  <c r="C25" i="12"/>
  <c r="B25" i="12"/>
  <c r="E24" i="12"/>
  <c r="C24" i="12"/>
  <c r="B24" i="12"/>
  <c r="E23" i="12"/>
  <c r="C23" i="12"/>
  <c r="B23" i="12"/>
  <c r="E22" i="12"/>
  <c r="C22" i="12"/>
  <c r="B22" i="12"/>
  <c r="E21" i="12"/>
  <c r="C21" i="12"/>
  <c r="B21" i="12"/>
  <c r="E20" i="12"/>
  <c r="C20" i="12"/>
  <c r="B20" i="12"/>
  <c r="E19" i="12"/>
  <c r="C19" i="12"/>
  <c r="B19" i="12"/>
  <c r="E18" i="12"/>
  <c r="C18" i="12"/>
  <c r="B18" i="12"/>
  <c r="E17" i="12"/>
  <c r="C17" i="12"/>
  <c r="B17" i="12"/>
  <c r="E16" i="12"/>
  <c r="C16" i="12"/>
  <c r="B16" i="12"/>
  <c r="E15" i="12"/>
  <c r="C15" i="12"/>
  <c r="B15" i="12"/>
  <c r="E14" i="12"/>
  <c r="C14" i="12"/>
  <c r="B14" i="12"/>
  <c r="E13" i="12"/>
  <c r="C13" i="12"/>
  <c r="B13" i="12"/>
  <c r="E12" i="12"/>
  <c r="C12" i="12"/>
  <c r="B12" i="12"/>
  <c r="E11" i="12"/>
  <c r="C11" i="12"/>
  <c r="B11" i="12"/>
  <c r="E10" i="12"/>
  <c r="C10" i="12"/>
  <c r="B10" i="12"/>
  <c r="E9" i="12"/>
  <c r="C9" i="12"/>
  <c r="B9" i="12"/>
  <c r="E8" i="12"/>
  <c r="C8" i="12"/>
  <c r="B8" i="12"/>
  <c r="E7" i="12"/>
  <c r="C7" i="12"/>
  <c r="B7" i="12"/>
  <c r="E6" i="12"/>
  <c r="C6" i="12"/>
  <c r="A3" i="12"/>
  <c r="G2" i="10"/>
  <c r="A2" i="10"/>
  <c r="B4" i="10" l="1"/>
  <c r="I5" i="10" l="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I4" i="10"/>
  <c r="H4" i="10"/>
  <c r="G4" i="10"/>
  <c r="F4" i="10"/>
  <c r="E4" i="10"/>
  <c r="D4" i="10"/>
  <c r="C4" i="10"/>
  <c r="D3" i="9"/>
  <c r="D3" i="14" s="1"/>
  <c r="D4" i="9"/>
  <c r="D4" i="14" s="1"/>
  <c r="D5" i="9"/>
  <c r="D5" i="14" s="1"/>
  <c r="D6" i="9"/>
  <c r="D6" i="14" s="1"/>
  <c r="D7" i="9"/>
  <c r="D7" i="14" s="1"/>
  <c r="D8" i="9"/>
  <c r="D8" i="14" s="1"/>
  <c r="D9" i="9"/>
  <c r="D9" i="14" s="1"/>
  <c r="D10" i="9"/>
  <c r="D10" i="14" s="1"/>
  <c r="D11" i="9"/>
  <c r="D11" i="14" s="1"/>
  <c r="D12" i="9"/>
  <c r="D12" i="14" s="1"/>
  <c r="D13" i="9"/>
  <c r="D13" i="14" s="1"/>
  <c r="D14" i="9"/>
  <c r="D14" i="14" s="1"/>
  <c r="D15" i="9"/>
  <c r="D15" i="14" s="1"/>
  <c r="D16" i="9"/>
  <c r="D16" i="14" s="1"/>
  <c r="D17" i="9"/>
  <c r="D17" i="14" s="1"/>
  <c r="D18" i="9"/>
  <c r="D18" i="14" s="1"/>
  <c r="D19" i="9"/>
  <c r="D19" i="14" s="1"/>
  <c r="D20" i="9"/>
  <c r="D20" i="14" s="1"/>
  <c r="D21" i="9"/>
  <c r="D21" i="14" s="1"/>
  <c r="D22" i="9"/>
  <c r="D22" i="14" s="1"/>
  <c r="D23" i="9"/>
  <c r="D23" i="14" s="1"/>
  <c r="D24" i="9"/>
  <c r="D24" i="14" s="1"/>
  <c r="D25" i="9"/>
  <c r="D25" i="14" s="1"/>
  <c r="D26" i="9"/>
  <c r="D26" i="14" s="1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" i="9"/>
  <c r="C23" i="14" l="1"/>
  <c r="C15" i="14"/>
  <c r="C3" i="14"/>
  <c r="C22" i="14"/>
  <c r="C18" i="14"/>
  <c r="C14" i="14"/>
  <c r="C10" i="14"/>
  <c r="C6" i="14"/>
  <c r="C19" i="14"/>
  <c r="C7" i="14"/>
  <c r="C25" i="14"/>
  <c r="C21" i="14"/>
  <c r="C17" i="14"/>
  <c r="C13" i="14"/>
  <c r="C9" i="14"/>
  <c r="C5" i="14"/>
  <c r="C2" i="14"/>
  <c r="C11" i="14"/>
  <c r="C26" i="14"/>
  <c r="C24" i="14"/>
  <c r="C20" i="14"/>
  <c r="C16" i="14"/>
  <c r="C12" i="14"/>
  <c r="C8" i="14"/>
  <c r="C4" i="14"/>
  <c r="E26" i="14"/>
  <c r="A26" i="14"/>
  <c r="E24" i="14"/>
  <c r="A24" i="14"/>
  <c r="E25" i="14"/>
  <c r="A25" i="14"/>
  <c r="E22" i="14"/>
  <c r="A22" i="14"/>
  <c r="E20" i="14"/>
  <c r="A20" i="14"/>
  <c r="E18" i="14"/>
  <c r="A18" i="14"/>
  <c r="E16" i="14"/>
  <c r="A16" i="14"/>
  <c r="E14" i="14"/>
  <c r="A14" i="14"/>
  <c r="E12" i="14"/>
  <c r="A12" i="14"/>
  <c r="E10" i="14"/>
  <c r="A10" i="14"/>
  <c r="E8" i="14"/>
  <c r="A8" i="14"/>
  <c r="E6" i="14"/>
  <c r="A6" i="14"/>
  <c r="E4" i="14"/>
  <c r="A4" i="14"/>
  <c r="E23" i="14"/>
  <c r="A23" i="14"/>
  <c r="E21" i="14"/>
  <c r="A21" i="14"/>
  <c r="E19" i="14"/>
  <c r="A19" i="14"/>
  <c r="E17" i="14"/>
  <c r="A17" i="14"/>
  <c r="E15" i="14"/>
  <c r="A15" i="14"/>
  <c r="E13" i="14"/>
  <c r="A13" i="14"/>
  <c r="E11" i="14"/>
  <c r="A11" i="14"/>
  <c r="E9" i="14"/>
  <c r="A9" i="14"/>
  <c r="E7" i="14"/>
  <c r="A7" i="14"/>
  <c r="E5" i="14"/>
  <c r="A5" i="14"/>
  <c r="E3" i="14"/>
  <c r="A3" i="14"/>
  <c r="A2" i="14"/>
  <c r="E2" i="14"/>
  <c r="E17" i="9"/>
  <c r="F17" i="9" s="1"/>
  <c r="E13" i="9"/>
  <c r="F13" i="9" s="1"/>
  <c r="E9" i="9"/>
  <c r="F9" i="9" s="1"/>
  <c r="A1" i="8"/>
  <c r="H28" i="9"/>
  <c r="I28" i="9"/>
  <c r="H29" i="9"/>
  <c r="I29" i="9"/>
  <c r="E5" i="9"/>
  <c r="F5" i="9" s="1"/>
  <c r="M15" i="10" l="1"/>
  <c r="K15" i="10"/>
  <c r="J15" i="10" s="1"/>
  <c r="M19" i="10"/>
  <c r="K19" i="10"/>
  <c r="J19" i="10" s="1"/>
  <c r="M7" i="10"/>
  <c r="K7" i="10"/>
  <c r="J7" i="10" s="1"/>
  <c r="M11" i="10"/>
  <c r="K11" i="10"/>
  <c r="J11" i="10" s="1"/>
  <c r="W5" i="9"/>
  <c r="U5" i="9"/>
  <c r="X5" i="9"/>
  <c r="T5" i="9"/>
  <c r="W9" i="9"/>
  <c r="U9" i="9"/>
  <c r="X9" i="9"/>
  <c r="T9" i="9"/>
  <c r="W13" i="9"/>
  <c r="U13" i="9"/>
  <c r="X13" i="9"/>
  <c r="T13" i="9"/>
  <c r="W17" i="9"/>
  <c r="U17" i="9"/>
  <c r="X17" i="9"/>
  <c r="T17" i="9"/>
  <c r="W21" i="9"/>
  <c r="U21" i="9"/>
  <c r="X21" i="9"/>
  <c r="V21" i="9"/>
  <c r="T21" i="9"/>
  <c r="W25" i="9"/>
  <c r="U25" i="9"/>
  <c r="X25" i="9"/>
  <c r="V25" i="9"/>
  <c r="T25" i="9"/>
  <c r="E6" i="9"/>
  <c r="F6" i="9" s="1"/>
  <c r="X6" i="9"/>
  <c r="T6" i="9"/>
  <c r="W6" i="9"/>
  <c r="U6" i="9"/>
  <c r="E10" i="9"/>
  <c r="F10" i="9" s="1"/>
  <c r="X10" i="9"/>
  <c r="T10" i="9"/>
  <c r="W10" i="9"/>
  <c r="U10" i="9"/>
  <c r="E14" i="9"/>
  <c r="F14" i="9" s="1"/>
  <c r="X14" i="9"/>
  <c r="T14" i="9"/>
  <c r="W14" i="9"/>
  <c r="U14" i="9"/>
  <c r="E18" i="9"/>
  <c r="F18" i="9" s="1"/>
  <c r="X18" i="9"/>
  <c r="V18" i="9"/>
  <c r="T18" i="9"/>
  <c r="W18" i="9"/>
  <c r="U18" i="9"/>
  <c r="X22" i="9"/>
  <c r="V22" i="9"/>
  <c r="T22" i="9"/>
  <c r="W22" i="9"/>
  <c r="U22" i="9"/>
  <c r="W3" i="9"/>
  <c r="U3" i="9"/>
  <c r="X3" i="9"/>
  <c r="T3" i="9"/>
  <c r="E7" i="9"/>
  <c r="F7" i="9" s="1"/>
  <c r="W7" i="9"/>
  <c r="U7" i="9"/>
  <c r="X7" i="9"/>
  <c r="T7" i="9"/>
  <c r="E11" i="9"/>
  <c r="F11" i="9" s="1"/>
  <c r="W11" i="9"/>
  <c r="U11" i="9"/>
  <c r="X11" i="9"/>
  <c r="T11" i="9"/>
  <c r="E15" i="9"/>
  <c r="F15" i="9" s="1"/>
  <c r="W15" i="9"/>
  <c r="U15" i="9"/>
  <c r="X15" i="9"/>
  <c r="T15" i="9"/>
  <c r="W19" i="9"/>
  <c r="U19" i="9"/>
  <c r="X19" i="9"/>
  <c r="V19" i="9"/>
  <c r="T19" i="9"/>
  <c r="W23" i="9"/>
  <c r="U23" i="9"/>
  <c r="X23" i="9"/>
  <c r="T23" i="9"/>
  <c r="E4" i="9"/>
  <c r="F4" i="9" s="1"/>
  <c r="X4" i="9"/>
  <c r="T4" i="9"/>
  <c r="W4" i="9"/>
  <c r="U4" i="9"/>
  <c r="E8" i="9"/>
  <c r="F8" i="9" s="1"/>
  <c r="X8" i="9"/>
  <c r="T8" i="9"/>
  <c r="W8" i="9"/>
  <c r="U8" i="9"/>
  <c r="E12" i="9"/>
  <c r="F12" i="9" s="1"/>
  <c r="X12" i="9"/>
  <c r="T12" i="9"/>
  <c r="W12" i="9"/>
  <c r="U12" i="9"/>
  <c r="X16" i="9"/>
  <c r="T16" i="9"/>
  <c r="W16" i="9"/>
  <c r="U16" i="9"/>
  <c r="X20" i="9"/>
  <c r="T20" i="9"/>
  <c r="W20" i="9"/>
  <c r="U20" i="9"/>
  <c r="X24" i="9"/>
  <c r="T24" i="9"/>
  <c r="W24" i="9"/>
  <c r="U24" i="9"/>
  <c r="X2" i="9"/>
  <c r="U2" i="9"/>
  <c r="W2" i="9"/>
  <c r="T2" i="9"/>
  <c r="X26" i="9"/>
  <c r="W26" i="9"/>
  <c r="U26" i="9"/>
  <c r="T26" i="9"/>
  <c r="E16" i="9"/>
  <c r="F16" i="9" s="1"/>
  <c r="K28" i="9"/>
  <c r="E26" i="9"/>
  <c r="F26" i="9" s="1"/>
  <c r="E24" i="9"/>
  <c r="F24" i="9" s="1"/>
  <c r="E22" i="9"/>
  <c r="F22" i="9" s="1"/>
  <c r="E25" i="9"/>
  <c r="F25" i="9" s="1"/>
  <c r="E23" i="9"/>
  <c r="F23" i="9" s="1"/>
  <c r="E21" i="9"/>
  <c r="F21" i="9" s="1"/>
  <c r="E19" i="9"/>
  <c r="F19" i="9" s="1"/>
  <c r="L19" i="10"/>
  <c r="L15" i="10"/>
  <c r="L11" i="10"/>
  <c r="L7" i="10"/>
  <c r="E20" i="9"/>
  <c r="F20" i="9" s="1"/>
  <c r="M23" i="10" l="1"/>
  <c r="K23" i="10"/>
  <c r="J23" i="10" s="1"/>
  <c r="M21" i="10"/>
  <c r="K21" i="10"/>
  <c r="J21" i="10" s="1"/>
  <c r="M28" i="10"/>
  <c r="K28" i="10"/>
  <c r="J28" i="10" s="1"/>
  <c r="M22" i="10"/>
  <c r="K22" i="10"/>
  <c r="J22" i="10" s="1"/>
  <c r="M6" i="10"/>
  <c r="K6" i="10"/>
  <c r="J6" i="10" s="1"/>
  <c r="M9" i="10"/>
  <c r="K9" i="10"/>
  <c r="J9" i="10" s="1"/>
  <c r="K8" i="10"/>
  <c r="J8" i="10" s="1"/>
  <c r="M8" i="10"/>
  <c r="M18" i="10"/>
  <c r="K18" i="10"/>
  <c r="J18" i="10" s="1"/>
  <c r="K14" i="10"/>
  <c r="J14" i="10" s="1"/>
  <c r="M14" i="10"/>
  <c r="M16" i="10"/>
  <c r="K16" i="10"/>
  <c r="J16" i="10" s="1"/>
  <c r="M10" i="10"/>
  <c r="K10" i="10"/>
  <c r="J10" i="10" s="1"/>
  <c r="M25" i="10"/>
  <c r="K25" i="10"/>
  <c r="J25" i="10" s="1"/>
  <c r="M13" i="10"/>
  <c r="K13" i="10"/>
  <c r="J13" i="10" s="1"/>
  <c r="M12" i="10"/>
  <c r="K12" i="10"/>
  <c r="J12" i="10" s="1"/>
  <c r="M27" i="10"/>
  <c r="K27" i="10"/>
  <c r="J27" i="10" s="1"/>
  <c r="M17" i="10"/>
  <c r="K17" i="10"/>
  <c r="J17" i="10" s="1"/>
  <c r="M24" i="10"/>
  <c r="K24" i="10"/>
  <c r="J24" i="10" s="1"/>
  <c r="K20" i="10"/>
  <c r="J20" i="10" s="1"/>
  <c r="M20" i="10"/>
  <c r="K26" i="10"/>
  <c r="J26" i="10" s="1"/>
  <c r="M26" i="10"/>
  <c r="R17" i="9"/>
  <c r="R13" i="9"/>
  <c r="R5" i="9"/>
  <c r="R9" i="9"/>
  <c r="R8" i="9"/>
  <c r="L8" i="10"/>
  <c r="R23" i="9"/>
  <c r="L10" i="10"/>
  <c r="L16" i="10"/>
  <c r="L12" i="10"/>
  <c r="L20" i="10"/>
  <c r="L17" i="10"/>
  <c r="L14" i="10"/>
  <c r="L13" i="10"/>
  <c r="L9" i="10"/>
  <c r="L6" i="10"/>
  <c r="L28" i="10"/>
  <c r="L25" i="10"/>
  <c r="L24" i="10"/>
  <c r="L21" i="10"/>
  <c r="L18" i="10"/>
  <c r="L26" i="10"/>
  <c r="M28" i="9"/>
  <c r="L23" i="10"/>
  <c r="L27" i="10"/>
  <c r="E3" i="9"/>
  <c r="F3" i="9" s="1"/>
  <c r="L22" i="10"/>
  <c r="E2" i="9"/>
  <c r="F2" i="9" s="1"/>
  <c r="M4" i="10" l="1"/>
  <c r="K4" i="10"/>
  <c r="J4" i="10" s="1"/>
  <c r="D2" i="14"/>
  <c r="M5" i="10"/>
  <c r="K5" i="10"/>
  <c r="J5" i="10" s="1"/>
  <c r="R18" i="9"/>
  <c r="R14" i="9"/>
  <c r="R21" i="9"/>
  <c r="R11" i="9"/>
  <c r="R24" i="9"/>
  <c r="R20" i="9"/>
  <c r="R25" i="9"/>
  <c r="R26" i="9"/>
  <c r="R10" i="9"/>
  <c r="R22" i="9"/>
  <c r="R6" i="9"/>
  <c r="R7" i="9"/>
  <c r="R15" i="9"/>
  <c r="R12" i="9"/>
  <c r="R4" i="9"/>
  <c r="R16" i="9"/>
  <c r="R19" i="9"/>
  <c r="L5" i="10"/>
  <c r="L4" i="10"/>
  <c r="R3" i="9" l="1"/>
  <c r="R2" i="9"/>
  <c r="B5" i="8"/>
  <c r="B7" i="8"/>
  <c r="B9" i="8"/>
  <c r="B11" i="8"/>
  <c r="B13" i="8"/>
  <c r="B4" i="8"/>
  <c r="B6" i="8"/>
  <c r="B8" i="8"/>
  <c r="B10" i="8"/>
  <c r="B12" i="8"/>
  <c r="B3" i="8"/>
  <c r="F29" i="9"/>
  <c r="F28" i="9" a="1"/>
  <c r="F28" i="9" s="1"/>
  <c r="V20" i="9" l="1"/>
  <c r="V24" i="9"/>
  <c r="V17" i="9"/>
  <c r="V23" i="9"/>
  <c r="V15" i="9"/>
  <c r="V16" i="9"/>
  <c r="V13" i="9"/>
  <c r="V14" i="9"/>
  <c r="V9" i="9"/>
  <c r="V11" i="9"/>
  <c r="V8" i="9"/>
  <c r="V10" i="9"/>
  <c r="V6" i="9"/>
  <c r="V7" i="9"/>
  <c r="V3" i="9"/>
  <c r="V5" i="9"/>
  <c r="V12" i="9"/>
  <c r="V4" i="9"/>
  <c r="J29" i="10"/>
  <c r="V2" i="9"/>
  <c r="V26" i="9"/>
  <c r="D1" i="8"/>
</calcChain>
</file>

<file path=xl/sharedStrings.xml><?xml version="1.0" encoding="utf-8"?>
<sst xmlns="http://schemas.openxmlformats.org/spreadsheetml/2006/main" count="175" uniqueCount="147">
  <si>
    <t>Name</t>
  </si>
  <si>
    <t xml:space="preserve"> Vorname</t>
  </si>
  <si>
    <t xml:space="preserve"> Hochschule</t>
  </si>
  <si>
    <t xml:space="preserve"> Matrikelnummer</t>
  </si>
  <si>
    <t xml:space="preserve"> Gesamtbewertung in %</t>
  </si>
  <si>
    <t>Note</t>
  </si>
  <si>
    <t>Name Dozent</t>
  </si>
  <si>
    <t>Kursname</t>
  </si>
  <si>
    <t>Gesamt</t>
  </si>
  <si>
    <t>Gesamtpunktzahl</t>
  </si>
  <si>
    <t>Standardabweichung</t>
  </si>
  <si>
    <t>Anzahl</t>
  </si>
  <si>
    <t>Schnitt:</t>
  </si>
  <si>
    <t>Name Dozent:</t>
  </si>
  <si>
    <t>Level:</t>
  </si>
  <si>
    <t>ECTS:</t>
  </si>
  <si>
    <t>Kursname:</t>
  </si>
  <si>
    <t>Nachname</t>
  </si>
  <si>
    <t>Vorname</t>
  </si>
  <si>
    <t>E-Mail</t>
  </si>
  <si>
    <t>Telefon</t>
  </si>
  <si>
    <t>Fakultät</t>
  </si>
  <si>
    <t>Semester</t>
  </si>
  <si>
    <t>Prozent</t>
  </si>
  <si>
    <t>Nr.</t>
  </si>
  <si>
    <t>Matrikelnummer</t>
  </si>
  <si>
    <t>Hochschule</t>
  </si>
  <si>
    <t>Matrikel
nummer</t>
  </si>
  <si>
    <t>Semester:</t>
  </si>
  <si>
    <t>NB</t>
  </si>
  <si>
    <r>
      <t xml:space="preserve">In die </t>
    </r>
    <r>
      <rPr>
        <sz val="10"/>
        <color theme="6" tint="-0.249977111117893"/>
        <rFont val="Arial"/>
        <family val="2"/>
      </rPr>
      <t>grünen</t>
    </r>
    <r>
      <rPr>
        <sz val="10"/>
        <rFont val="Arial"/>
        <family val="2"/>
      </rPr>
      <t xml:space="preserve"> Felder bitte die jeweilige Punktzahl eingeben.
In die </t>
    </r>
    <r>
      <rPr>
        <sz val="10"/>
        <color theme="9" tint="-0.249977111117893"/>
        <rFont val="Arial"/>
        <family val="2"/>
      </rPr>
      <t>orangenen</t>
    </r>
    <r>
      <rPr>
        <sz val="10"/>
        <rFont val="Arial"/>
        <family val="2"/>
      </rPr>
      <t xml:space="preserve"> Felder bitte mit einem 'X' markieren.
</t>
    </r>
    <r>
      <rPr>
        <sz val="10"/>
        <color rgb="FFCCCC00"/>
        <rFont val="Arial"/>
        <family val="2"/>
      </rPr>
      <t>Gelbe</t>
    </r>
    <r>
      <rPr>
        <sz val="10"/>
        <rFont val="Arial"/>
        <family val="2"/>
      </rPr>
      <t xml:space="preserve"> Felder, wenn nötig korrigieren.
Sollten Änderungen an Namen oder Matrikelnummer notwendig sein sind diese in Blatt "RAWDATA" zu machen.</t>
    </r>
  </si>
  <si>
    <t>Hoch-schule</t>
  </si>
  <si>
    <t>Prüfungs-schein</t>
  </si>
  <si>
    <t>Prüfungs-
schein</t>
  </si>
  <si>
    <t>ECTS</t>
  </si>
  <si>
    <t>Level</t>
  </si>
  <si>
    <t>Schnitt</t>
  </si>
  <si>
    <t>Anwesenheitsliste</t>
  </si>
  <si>
    <t>Schreibt
Prüfung</t>
  </si>
  <si>
    <t>Datum:_________________________                Unterschrift:_______________________________________</t>
  </si>
  <si>
    <t>Kursname Zusatz</t>
  </si>
  <si>
    <t>Spanisch 1</t>
  </si>
  <si>
    <t>A1.1</t>
  </si>
  <si>
    <t>Status</t>
  </si>
  <si>
    <t>LP</t>
  </si>
  <si>
    <t>Datum</t>
  </si>
  <si>
    <t>Individueller Titel deutsch</t>
  </si>
  <si>
    <t>Individueller Titel englisch</t>
  </si>
  <si>
    <t>Anmerkungen</t>
  </si>
  <si>
    <t>Spanish 1</t>
  </si>
  <si>
    <t>Prüfungsdatum</t>
  </si>
  <si>
    <t>Durchschnitt</t>
  </si>
  <si>
    <r>
      <t xml:space="preserve">Teil1
</t>
    </r>
    <r>
      <rPr>
        <b/>
        <sz val="10"/>
        <rFont val="Arial"/>
        <family val="2"/>
      </rPr>
      <t xml:space="preserve">Examen
</t>
    </r>
  </si>
  <si>
    <t>Niveau</t>
  </si>
  <si>
    <t>A1.2</t>
  </si>
  <si>
    <t>A2.1</t>
  </si>
  <si>
    <t>A2.2</t>
  </si>
  <si>
    <t>B1.1</t>
  </si>
  <si>
    <t>B1.2</t>
  </si>
  <si>
    <t>C1.1</t>
  </si>
  <si>
    <t>C1.2</t>
  </si>
  <si>
    <t>Kursname Englisch</t>
  </si>
  <si>
    <t>Spanisch 2</t>
  </si>
  <si>
    <t>Spanisch 4</t>
  </si>
  <si>
    <t>Spanisch 3</t>
  </si>
  <si>
    <t>Spanisch 5</t>
  </si>
  <si>
    <t>Spanisch 6</t>
  </si>
  <si>
    <t>Spanisch 7</t>
  </si>
  <si>
    <t>Spanisch 8</t>
  </si>
  <si>
    <t>Spanish 8</t>
  </si>
  <si>
    <t>Spanish 2</t>
  </si>
  <si>
    <t>Spanish 3</t>
  </si>
  <si>
    <t>Spanish 4</t>
  </si>
  <si>
    <t>Spanish 5</t>
  </si>
  <si>
    <t>Spanish 6</t>
  </si>
  <si>
    <t>Spanish 7</t>
  </si>
  <si>
    <t>Dozenten</t>
  </si>
  <si>
    <t>Elena Moya Royo</t>
  </si>
  <si>
    <t>2</t>
  </si>
  <si>
    <t>4</t>
  </si>
  <si>
    <t>6</t>
  </si>
  <si>
    <t>Spanish rapid 1</t>
  </si>
  <si>
    <t>Spanish rapid 2</t>
  </si>
  <si>
    <t>Spanish rapid 3</t>
  </si>
  <si>
    <t>Spanish rapid 4</t>
  </si>
  <si>
    <r>
      <t xml:space="preserve">1.1
</t>
    </r>
    <r>
      <rPr>
        <b/>
        <sz val="10"/>
        <rFont val="Arial"/>
        <family val="2"/>
      </rPr>
      <t>G &amp; V</t>
    </r>
  </si>
  <si>
    <r>
      <t xml:space="preserve">1.2
</t>
    </r>
    <r>
      <rPr>
        <b/>
        <sz val="10"/>
        <rFont val="Arial"/>
        <family val="2"/>
      </rPr>
      <t>CL</t>
    </r>
  </si>
  <si>
    <r>
      <t xml:space="preserve">1.3
</t>
    </r>
    <r>
      <rPr>
        <b/>
        <sz val="10"/>
        <rFont val="Arial"/>
        <family val="2"/>
      </rPr>
      <t>CA</t>
    </r>
  </si>
  <si>
    <t>Estíbaliz Alonso</t>
  </si>
  <si>
    <t>Maritza Bayona</t>
  </si>
  <si>
    <t>Dora Castillo</t>
  </si>
  <si>
    <t>Katya Geiger</t>
  </si>
  <si>
    <t>Irene Gómez</t>
  </si>
  <si>
    <t xml:space="preserve">Paula González </t>
  </si>
  <si>
    <t>Alexandra Martín</t>
  </si>
  <si>
    <t>Elena Molins</t>
  </si>
  <si>
    <t>Isabel Morant</t>
  </si>
  <si>
    <t>Marta Moriones</t>
  </si>
  <si>
    <t>Manuela Rodríguez</t>
  </si>
  <si>
    <t>Rosa María Portocarrero</t>
  </si>
  <si>
    <t>A1</t>
  </si>
  <si>
    <t>A2</t>
  </si>
  <si>
    <t>B1</t>
  </si>
  <si>
    <t>B2</t>
  </si>
  <si>
    <t>Spanisch Rápido 1</t>
  </si>
  <si>
    <t>Spanisch Rápido 2</t>
  </si>
  <si>
    <t>Spanisch Rápido 3</t>
  </si>
  <si>
    <t>Spanisch Rápido 4</t>
  </si>
  <si>
    <t>B2.1</t>
  </si>
  <si>
    <t>B2.2</t>
  </si>
  <si>
    <t>applicant.last_name</t>
  </si>
  <si>
    <t>applicant.first_name</t>
  </si>
  <si>
    <t>applicant.origin.short_name</t>
  </si>
  <si>
    <t>applicant.tag</t>
  </si>
  <si>
    <t>applicant.mail</t>
  </si>
  <si>
    <t>applicant.phone</t>
  </si>
  <si>
    <t>course.ger</t>
  </si>
  <si>
    <t>course.ects_points</t>
  </si>
  <si>
    <t>course.name</t>
  </si>
  <si>
    <t>course.alternative</t>
  </si>
  <si>
    <t>semester</t>
  </si>
  <si>
    <t>exam_date</t>
  </si>
  <si>
    <t>course.name_english</t>
  </si>
  <si>
    <t>Ines Gallego Perez</t>
  </si>
  <si>
    <t>Victor Rubio Moreno</t>
  </si>
  <si>
    <t>Durchschnittt</t>
  </si>
  <si>
    <r>
      <t xml:space="preserve">Teil3
</t>
    </r>
    <r>
      <rPr>
        <b/>
        <sz val="10"/>
        <rFont val="Arial"/>
        <family val="2"/>
      </rPr>
      <t>Com. Oral</t>
    </r>
  </si>
  <si>
    <t>Comunicación Oral</t>
  </si>
  <si>
    <t>Actividad 1</t>
  </si>
  <si>
    <t>Actividad 2</t>
  </si>
  <si>
    <t>Actividad 3</t>
  </si>
  <si>
    <t>Actividad 4</t>
  </si>
  <si>
    <t>Com. Oral Total</t>
  </si>
  <si>
    <t>Actividad 5</t>
  </si>
  <si>
    <t>Lucía Serres</t>
  </si>
  <si>
    <t>Gabriela Fahra</t>
  </si>
  <si>
    <t>course.teacher_name</t>
  </si>
  <si>
    <t>attendance.sanitized_grade</t>
  </si>
  <si>
    <t>attendance.ects_points</t>
  </si>
  <si>
    <t>Teilnahmeschein</t>
  </si>
  <si>
    <t>Schein erhalten</t>
  </si>
  <si>
    <t>attendance.ts_requested_str</t>
  </si>
  <si>
    <t>attendance.ts_received_str</t>
  </si>
  <si>
    <t>bestanden statt Note</t>
  </si>
  <si>
    <t>bestanden</t>
  </si>
  <si>
    <t>attendance.hide_grade_str</t>
  </si>
  <si>
    <t>Leistungs-punkte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</si>
</sst>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6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rgb="FFCCCC0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2" borderId="0" xfId="1" applyFill="1"/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1" fillId="2" borderId="0" xfId="1" applyFill="1" applyAlignment="1">
      <alignment horizontal="center" vertical="center" wrapText="1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textRotation="90" wrapText="1"/>
    </xf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0" xfId="1" applyFill="1" applyAlignment="1">
      <alignment horizontal="center" vertical="center" wrapText="1"/>
    </xf>
    <xf numFmtId="0" fontId="1" fillId="5" borderId="0" xfId="1" applyFill="1" applyAlignment="1">
      <alignment horizontal="center" vertical="center"/>
    </xf>
    <xf numFmtId="0" fontId="1" fillId="2" borderId="1" xfId="1" applyFill="1" applyBorder="1" applyAlignment="1">
      <alignment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/>
    <xf numFmtId="0" fontId="1" fillId="0" borderId="1" xfId="1" applyBorder="1" applyAlignment="1">
      <alignment horizontal="center"/>
    </xf>
    <xf numFmtId="0" fontId="1" fillId="5" borderId="0" xfId="1" applyFill="1" applyAlignment="1">
      <alignment horizontal="left" vertical="top"/>
    </xf>
    <xf numFmtId="0" fontId="1" fillId="0" borderId="1" xfId="1" applyBorder="1" applyAlignment="1">
      <alignment horizontal="center" vertical="center"/>
    </xf>
    <xf numFmtId="0" fontId="1" fillId="3" borderId="0" xfId="1" applyFill="1" applyAlignment="1" applyProtection="1">
      <alignment horizontal="left"/>
      <protection locked="0"/>
    </xf>
    <xf numFmtId="0" fontId="1" fillId="3" borderId="0" xfId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4" borderId="0" xfId="0" applyFill="1"/>
    <xf numFmtId="0" fontId="1" fillId="2" borderId="1" xfId="1" applyFill="1" applyBorder="1" applyAlignment="1">
      <alignment horizontal="center" textRotation="90" wrapText="1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1" fillId="0" borderId="1" xfId="1" applyNumberFormat="1" applyBorder="1"/>
    <xf numFmtId="165" fontId="1" fillId="0" borderId="1" xfId="1" applyNumberFormat="1" applyBorder="1" applyAlignment="1">
      <alignment horizontal="center"/>
    </xf>
    <xf numFmtId="0" fontId="1" fillId="6" borderId="1" xfId="1" applyFill="1" applyBorder="1" applyAlignment="1" applyProtection="1">
      <alignment horizontal="center" vertical="center"/>
      <protection locked="0"/>
    </xf>
    <xf numFmtId="0" fontId="1" fillId="0" borderId="1" xfId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left" vertical="center"/>
    </xf>
    <xf numFmtId="14" fontId="1" fillId="3" borderId="0" xfId="1" applyNumberFormat="1" applyFill="1" applyAlignment="1" applyProtection="1">
      <alignment horizontal="left"/>
      <protection locked="0"/>
    </xf>
    <xf numFmtId="2" fontId="0" fillId="0" borderId="0" xfId="0" applyNumberFormat="1" applyAlignment="1" applyProtection="1">
      <alignment horizontal="right" vertical="center"/>
      <protection locked="0"/>
    </xf>
    <xf numFmtId="16" fontId="1" fillId="2" borderId="1" xfId="1" quotePrefix="1" applyNumberFormat="1" applyFill="1" applyBorder="1" applyAlignment="1">
      <alignment horizontal="center" vertical="center" wrapText="1"/>
    </xf>
    <xf numFmtId="0" fontId="1" fillId="2" borderId="1" xfId="1" quotePrefix="1" applyFill="1" applyBorder="1" applyAlignment="1">
      <alignment horizontal="center" vertical="center" wrapText="1"/>
    </xf>
    <xf numFmtId="0" fontId="0" fillId="7" borderId="11" xfId="0" applyFill="1" applyBorder="1"/>
    <xf numFmtId="0" fontId="0" fillId="0" borderId="12" xfId="0" applyBorder="1"/>
    <xf numFmtId="0" fontId="0" fillId="0" borderId="13" xfId="0" applyBorder="1"/>
    <xf numFmtId="0" fontId="0" fillId="7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1" fillId="5" borderId="0" xfId="1" applyFill="1" applyAlignment="1">
      <alignment vertical="top" wrapText="1"/>
    </xf>
    <xf numFmtId="0" fontId="1" fillId="5" borderId="0" xfId="1" applyFill="1" applyAlignment="1">
      <alignment horizontal="left"/>
    </xf>
    <xf numFmtId="0" fontId="0" fillId="0" borderId="14" xfId="0" applyBorder="1"/>
    <xf numFmtId="0" fontId="1" fillId="0" borderId="1" xfId="1" applyBorder="1"/>
    <xf numFmtId="0" fontId="1" fillId="8" borderId="1" xfId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1" fillId="6" borderId="1" xfId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wrapText="1"/>
    </xf>
    <xf numFmtId="0" fontId="1" fillId="0" borderId="1" xfId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/>
      <protection locked="0"/>
    </xf>
    <xf numFmtId="0" fontId="1" fillId="5" borderId="0" xfId="1" applyFill="1" applyAlignment="1">
      <alignment horizontal="left" vertical="top" wrapText="1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top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center"/>
    </xf>
    <xf numFmtId="0" fontId="0" fillId="4" borderId="2" xfId="0" applyFill="1" applyBorder="1" applyAlignment="1">
      <alignment horizontal="center" textRotation="90" wrapText="1"/>
    </xf>
    <xf numFmtId="0" fontId="0" fillId="4" borderId="5" xfId="0" applyFill="1" applyBorder="1" applyAlignment="1">
      <alignment horizontal="center" textRotation="90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</cellXfs>
  <cellStyles count="2">
    <cellStyle name="Standard" xfId="0" builtinId="0"/>
    <cellStyle name="Standard 2" xfId="1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  <protection locked="0" hidden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ill>
        <patternFill patternType="solid">
          <fgColor indexed="64"/>
          <bgColor theme="0" tint="-0.14999847407452621"/>
        </patternFill>
      </fill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 sz="1100" b="0"/>
              <a:t>Notenverteilung</a:t>
            </a:r>
            <a:endParaRPr lang="de-DE" b="0"/>
          </a:p>
        </c:rich>
      </c:tx>
      <c:layout/>
      <c:overlay val="0"/>
      <c:spPr>
        <a:noFill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Notenverteilung!$A$3:$A$13</c:f>
              <c:strCache>
                <c:ptCount val="11"/>
                <c:pt idx="0">
                  <c:v>1</c:v>
                </c:pt>
                <c:pt idx="1">
                  <c:v>1,3</c:v>
                </c:pt>
                <c:pt idx="2">
                  <c:v>1,7</c:v>
                </c:pt>
                <c:pt idx="3">
                  <c:v>2</c:v>
                </c:pt>
                <c:pt idx="4">
                  <c:v>2,3</c:v>
                </c:pt>
                <c:pt idx="5">
                  <c:v>2,7</c:v>
                </c:pt>
                <c:pt idx="6">
                  <c:v>3</c:v>
                </c:pt>
                <c:pt idx="7">
                  <c:v>3,3</c:v>
                </c:pt>
                <c:pt idx="8">
                  <c:v>3,7</c:v>
                </c:pt>
                <c:pt idx="9">
                  <c:v>4</c:v>
                </c:pt>
                <c:pt idx="10">
                  <c:v>NB</c:v>
                </c:pt>
              </c:strCache>
            </c:strRef>
          </c:cat>
          <c:val>
            <c:numRef>
              <c:f>Notenverteilung!$B$3:$B$13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5-4684-A556-EE9B80F9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30132720"/>
        <c:axId val="230133280"/>
        <c:axId val="0"/>
      </c:bar3DChart>
      <c:catAx>
        <c:axId val="23013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133280"/>
        <c:crosses val="autoZero"/>
        <c:auto val="1"/>
        <c:lblAlgn val="ctr"/>
        <c:lblOffset val="100"/>
        <c:noMultiLvlLbl val="0"/>
      </c:catAx>
      <c:valAx>
        <c:axId val="2301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13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8</xdr:col>
      <xdr:colOff>0</xdr:colOff>
      <xdr:row>13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DATA" displayName="DATA" ref="B1:L2" totalsRowShown="0" headerRowDxfId="22" dataDxfId="21">
  <autoFilter ref="B1:L2"/>
  <tableColumns count="11">
    <tableColumn id="1" name="Nachname" dataDxfId="20"/>
    <tableColumn id="2" name="Vorname" dataDxfId="19"/>
    <tableColumn id="3" name="Hochschule" dataDxfId="18"/>
    <tableColumn id="4" name="Matrikelnummer" dataDxfId="17"/>
    <tableColumn id="7" name="Note" dataDxfId="16"/>
    <tableColumn id="9" name="LP" dataDxfId="15"/>
    <tableColumn id="5" name="E-Mail" dataDxfId="14"/>
    <tableColumn id="10" name="Telefon" dataDxfId="13"/>
    <tableColumn id="11" name="bestanden" dataDxfId="12"/>
    <tableColumn id="8" name="Teilnahmeschein" dataDxfId="11"/>
    <tableColumn id="6" name="Schein erhalten" dataDxfId="10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1" name="Tabelle1" displayName="Tabelle1" ref="A1:H26" totalsRowShown="0">
  <autoFilter ref="A1:H26"/>
  <tableColumns count="8">
    <tableColumn id="1" name="Matrikelnummer" dataDxfId="9" totalsRowDxfId="8">
      <calculatedColumnFormula>IF(Notenliste!D2=0," ",Notenliste!D2)</calculatedColumnFormula>
    </tableColumn>
    <tableColumn id="2" name="Status"/>
    <tableColumn id="3" name="LP" dataDxfId="7">
      <calculatedColumnFormula>IF(Notenliste!D2&lt;&gt;0,IF(Notenliste!Q2&lt;&gt;0,Notenliste!Q2,Notenliste!$B$33)," ")</calculatedColumnFormula>
    </tableColumn>
    <tableColumn id="4" name="Note" dataDxfId="6" totalsRowDxfId="5">
      <calculatedColumnFormula>IF(Notenliste!D2=0," ",IF(Notenliste!F2="KP"," ",IF(Notenliste!F2="NB","nicht bestanden",IF(OR(Notenliste!P2="x", Notenliste!P2="X"),"bestanden",Notenliste!F2))))</calculatedColumnFormula>
    </tableColumn>
    <tableColumn id="5" name="Datum" dataDxfId="4">
      <calculatedColumnFormula>IF(Notenliste!D2&lt;&gt;0,Notenliste!$B$37," ")</calculatedColumnFormula>
    </tableColumn>
    <tableColumn id="6" name="Individueller Titel deutsch" dataDxfId="3"/>
    <tableColumn id="7" name="Individueller Titel englisch" dataDxfId="2"/>
    <tableColumn id="8" name="Anmerku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N26"/>
  <sheetViews>
    <sheetView workbookViewId="0">
      <selection activeCell="D16" sqref="D16"/>
    </sheetView>
  </sheetViews>
  <sheetFormatPr baseColWidth="10" defaultColWidth="0" defaultRowHeight="15" zeroHeight="1" x14ac:dyDescent="0.25"/>
  <cols>
    <col min="1" max="1" width="3" customWidth="1"/>
    <col min="2" max="2" width="28.28515625" customWidth="1"/>
    <col min="3" max="3" width="26.42578125" customWidth="1"/>
    <col min="4" max="4" width="14" customWidth="1"/>
    <col min="5" max="5" width="18.42578125" style="13" customWidth="1"/>
    <col min="6" max="7" width="8.140625" style="13" customWidth="1"/>
    <col min="8" max="9" width="37.140625" customWidth="1"/>
    <col min="10" max="10" width="24.5703125" customWidth="1"/>
    <col min="11" max="11" width="15.7109375" customWidth="1"/>
    <col min="12" max="12" width="14.42578125" customWidth="1"/>
    <col min="13" max="13" width="45.140625" hidden="1" customWidth="1"/>
    <col min="14" max="14" width="10.28515625" hidden="1" customWidth="1"/>
    <col min="15" max="16384" width="11.42578125" hidden="1"/>
  </cols>
  <sheetData>
    <row r="1" spans="1:14" ht="30" x14ac:dyDescent="0.25">
      <c r="A1" s="36" t="s">
        <v>24</v>
      </c>
      <c r="B1" s="36" t="s">
        <v>17</v>
      </c>
      <c r="C1" s="36" t="s">
        <v>18</v>
      </c>
      <c r="D1" s="36" t="s">
        <v>26</v>
      </c>
      <c r="E1" s="81" t="s">
        <v>25</v>
      </c>
      <c r="F1" s="81" t="s">
        <v>5</v>
      </c>
      <c r="G1" s="81" t="s">
        <v>44</v>
      </c>
      <c r="H1" s="36" t="s">
        <v>19</v>
      </c>
      <c r="I1" s="36" t="s">
        <v>20</v>
      </c>
      <c r="J1" s="82" t="s">
        <v>144</v>
      </c>
      <c r="K1" s="82" t="s">
        <v>139</v>
      </c>
      <c r="L1" s="82" t="s">
        <v>140</v>
      </c>
      <c r="M1" s="36" t="s">
        <v>21</v>
      </c>
      <c r="N1" s="36" t="s">
        <v>22</v>
      </c>
    </row>
    <row r="2" spans="1:14" x14ac:dyDescent="0.25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137</v>
      </c>
      <c r="G2" t="s">
        <v>138</v>
      </c>
      <c r="H2" t="s">
        <v>114</v>
      </c>
      <c r="I2" t="s">
        <v>115</v>
      </c>
      <c r="J2" t="s">
        <v>145</v>
      </c>
      <c r="K2" t="s">
        <v>141</v>
      </c>
      <c r="L2" t="s">
        <v>142</v>
      </c>
    </row>
    <row r="3" spans="1:14" x14ac:dyDescent="0.25">
      <c r="A3">
        <v>2</v>
      </c>
      <c r="E3"/>
      <c r="F3"/>
      <c r="G3"/>
    </row>
    <row r="4" spans="1:14" x14ac:dyDescent="0.25">
      <c r="A4">
        <v>3</v>
      </c>
      <c r="E4"/>
      <c r="F4"/>
      <c r="G4"/>
    </row>
    <row r="5" spans="1:14" x14ac:dyDescent="0.25">
      <c r="A5">
        <v>4</v>
      </c>
      <c r="E5"/>
      <c r="F5"/>
      <c r="G5"/>
    </row>
    <row r="6" spans="1:14" x14ac:dyDescent="0.25">
      <c r="A6">
        <v>5</v>
      </c>
      <c r="E6"/>
      <c r="F6"/>
      <c r="G6"/>
    </row>
    <row r="7" spans="1:14" x14ac:dyDescent="0.25">
      <c r="A7">
        <v>6</v>
      </c>
      <c r="E7"/>
      <c r="F7"/>
      <c r="G7"/>
    </row>
    <row r="8" spans="1:14" x14ac:dyDescent="0.25">
      <c r="A8">
        <v>7</v>
      </c>
      <c r="E8"/>
      <c r="F8"/>
      <c r="G8"/>
    </row>
    <row r="9" spans="1:14" x14ac:dyDescent="0.25">
      <c r="A9">
        <v>8</v>
      </c>
      <c r="E9"/>
      <c r="F9"/>
      <c r="G9"/>
    </row>
    <row r="10" spans="1:14" x14ac:dyDescent="0.25">
      <c r="A10">
        <v>9</v>
      </c>
      <c r="E10"/>
      <c r="F10"/>
      <c r="G10"/>
    </row>
    <row r="11" spans="1:14" x14ac:dyDescent="0.25">
      <c r="A11">
        <v>10</v>
      </c>
      <c r="E11"/>
      <c r="F11"/>
      <c r="G11"/>
    </row>
    <row r="12" spans="1:14" x14ac:dyDescent="0.25">
      <c r="A12">
        <v>11</v>
      </c>
      <c r="E12"/>
      <c r="F12"/>
      <c r="G12"/>
    </row>
    <row r="13" spans="1:14" x14ac:dyDescent="0.25">
      <c r="A13">
        <v>12</v>
      </c>
      <c r="E13"/>
      <c r="F13"/>
      <c r="G13"/>
    </row>
    <row r="14" spans="1:14" x14ac:dyDescent="0.25">
      <c r="A14">
        <v>13</v>
      </c>
      <c r="E14"/>
      <c r="F14"/>
      <c r="G14"/>
    </row>
    <row r="15" spans="1:14" x14ac:dyDescent="0.25">
      <c r="A15">
        <v>14</v>
      </c>
      <c r="E15"/>
      <c r="F15"/>
      <c r="G15"/>
    </row>
    <row r="16" spans="1:14" x14ac:dyDescent="0.25">
      <c r="A16">
        <v>15</v>
      </c>
      <c r="E16"/>
      <c r="F16"/>
      <c r="G16"/>
    </row>
    <row r="17" spans="1:7" x14ac:dyDescent="0.25">
      <c r="A17">
        <v>16</v>
      </c>
      <c r="E17"/>
      <c r="F17"/>
      <c r="G17"/>
    </row>
    <row r="18" spans="1:7" x14ac:dyDescent="0.25">
      <c r="A18">
        <v>17</v>
      </c>
      <c r="E18"/>
      <c r="F18"/>
      <c r="G18"/>
    </row>
    <row r="19" spans="1:7" x14ac:dyDescent="0.25">
      <c r="A19">
        <v>18</v>
      </c>
      <c r="E19"/>
      <c r="F19"/>
      <c r="G19"/>
    </row>
    <row r="20" spans="1:7" x14ac:dyDescent="0.25">
      <c r="A20">
        <v>19</v>
      </c>
      <c r="E20"/>
      <c r="F20"/>
      <c r="G20"/>
    </row>
    <row r="21" spans="1:7" x14ac:dyDescent="0.25">
      <c r="A21">
        <v>20</v>
      </c>
      <c r="E21"/>
      <c r="F21"/>
      <c r="G21"/>
    </row>
    <row r="22" spans="1:7" x14ac:dyDescent="0.25">
      <c r="A22">
        <v>21</v>
      </c>
      <c r="E22"/>
      <c r="F22"/>
      <c r="G22"/>
    </row>
    <row r="23" spans="1:7" x14ac:dyDescent="0.25">
      <c r="A23">
        <v>22</v>
      </c>
      <c r="E23"/>
      <c r="F23"/>
      <c r="G23"/>
    </row>
    <row r="24" spans="1:7" x14ac:dyDescent="0.25">
      <c r="A24">
        <v>23</v>
      </c>
    </row>
    <row r="25" spans="1:7" x14ac:dyDescent="0.25">
      <c r="A25">
        <v>24</v>
      </c>
    </row>
    <row r="26" spans="1:7" x14ac:dyDescent="0.25">
      <c r="A26">
        <v>25</v>
      </c>
    </row>
  </sheetData>
  <sheetProtection sheet="1" formatColumns="0" selectLockedCells="1"/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>
    <pageSetUpPr fitToPage="1"/>
  </sheetPr>
  <dimension ref="A1:WVU38"/>
  <sheetViews>
    <sheetView showZeros="0" tabSelected="1" zoomScaleNormal="100" workbookViewId="0">
      <selection activeCell="H2" sqref="H2"/>
    </sheetView>
  </sheetViews>
  <sheetFormatPr baseColWidth="10" defaultColWidth="0" defaultRowHeight="13.9" customHeight="1" zeroHeight="1" x14ac:dyDescent="0.2"/>
  <cols>
    <col min="1" max="1" width="15.42578125" style="1" customWidth="1"/>
    <col min="2" max="2" width="18.28515625" style="1" customWidth="1"/>
    <col min="3" max="3" width="11.42578125" style="3" customWidth="1"/>
    <col min="4" max="4" width="10.7109375" style="3" customWidth="1"/>
    <col min="5" max="5" width="11.42578125" style="11" customWidth="1"/>
    <col min="6" max="6" width="8.42578125" style="1" customWidth="1"/>
    <col min="7" max="7" width="2.28515625" style="1" customWidth="1"/>
    <col min="8" max="8" width="6.140625" style="2" customWidth="1"/>
    <col min="9" max="10" width="5.7109375" style="2" customWidth="1"/>
    <col min="11" max="11" width="8.140625" style="2" customWidth="1"/>
    <col min="12" max="12" width="7.42578125" style="2" customWidth="1"/>
    <col min="13" max="13" width="8" style="2" customWidth="1"/>
    <col min="14" max="15" width="2.7109375" style="1" customWidth="1"/>
    <col min="16" max="16" width="5.42578125" style="1" customWidth="1"/>
    <col min="17" max="18" width="5.7109375" style="2" customWidth="1"/>
    <col min="19" max="19" width="2.7109375" style="1" customWidth="1"/>
    <col min="20" max="20" width="17.7109375" style="1" hidden="1"/>
    <col min="21" max="21" width="16" style="1" hidden="1"/>
    <col min="22" max="22" width="17.7109375" style="1" hidden="1"/>
    <col min="23" max="23" width="3" style="1" hidden="1"/>
    <col min="24" max="248" width="11.42578125" style="1" hidden="1"/>
    <col min="249" max="249" width="15.42578125" style="1" hidden="1"/>
    <col min="250" max="250" width="11.42578125" style="1" hidden="1"/>
    <col min="251" max="251" width="15.7109375" style="1" hidden="1"/>
    <col min="252" max="252" width="21.7109375" style="1" hidden="1"/>
    <col min="253" max="255" width="11.42578125" style="1" hidden="1"/>
    <col min="256" max="256" width="16" style="1" hidden="1"/>
    <col min="257" max="257" width="20.42578125" style="1" hidden="1"/>
    <col min="258" max="504" width="11.42578125" style="1" hidden="1"/>
    <col min="505" max="505" width="15.42578125" style="1" hidden="1"/>
    <col min="506" max="506" width="11.42578125" style="1" hidden="1"/>
    <col min="507" max="507" width="15.7109375" style="1" hidden="1"/>
    <col min="508" max="508" width="21.7109375" style="1" hidden="1"/>
    <col min="509" max="511" width="11.42578125" style="1" hidden="1"/>
    <col min="512" max="512" width="16" style="1" hidden="1"/>
    <col min="513" max="513" width="20.42578125" style="1" hidden="1"/>
    <col min="514" max="760" width="11.42578125" style="1" hidden="1"/>
    <col min="761" max="761" width="15.42578125" style="1" hidden="1"/>
    <col min="762" max="762" width="11.42578125" style="1" hidden="1"/>
    <col min="763" max="763" width="15.7109375" style="1" hidden="1"/>
    <col min="764" max="764" width="21.7109375" style="1" hidden="1"/>
    <col min="765" max="767" width="11.42578125" style="1" hidden="1"/>
    <col min="768" max="768" width="16" style="1" hidden="1"/>
    <col min="769" max="769" width="20.42578125" style="1" hidden="1"/>
    <col min="770" max="1016" width="11.42578125" style="1" hidden="1"/>
    <col min="1017" max="1017" width="15.42578125" style="1" hidden="1"/>
    <col min="1018" max="1018" width="11.42578125" style="1" hidden="1"/>
    <col min="1019" max="1019" width="15.7109375" style="1" hidden="1"/>
    <col min="1020" max="1020" width="21.7109375" style="1" hidden="1"/>
    <col min="1021" max="1023" width="11.42578125" style="1" hidden="1"/>
    <col min="1024" max="1024" width="16" style="1" hidden="1"/>
    <col min="1025" max="1025" width="20.42578125" style="1" hidden="1"/>
    <col min="1026" max="1272" width="11.42578125" style="1" hidden="1"/>
    <col min="1273" max="1273" width="15.42578125" style="1" hidden="1"/>
    <col min="1274" max="1274" width="11.42578125" style="1" hidden="1"/>
    <col min="1275" max="1275" width="15.7109375" style="1" hidden="1"/>
    <col min="1276" max="1276" width="21.7109375" style="1" hidden="1"/>
    <col min="1277" max="1279" width="11.42578125" style="1" hidden="1"/>
    <col min="1280" max="1280" width="16" style="1" hidden="1"/>
    <col min="1281" max="1281" width="20.42578125" style="1" hidden="1"/>
    <col min="1282" max="1528" width="11.42578125" style="1" hidden="1"/>
    <col min="1529" max="1529" width="15.42578125" style="1" hidden="1"/>
    <col min="1530" max="1530" width="11.42578125" style="1" hidden="1"/>
    <col min="1531" max="1531" width="15.7109375" style="1" hidden="1"/>
    <col min="1532" max="1532" width="21.7109375" style="1" hidden="1"/>
    <col min="1533" max="1535" width="11.42578125" style="1" hidden="1"/>
    <col min="1536" max="1536" width="16" style="1" hidden="1"/>
    <col min="1537" max="1537" width="20.42578125" style="1" hidden="1"/>
    <col min="1538" max="1784" width="11.42578125" style="1" hidden="1"/>
    <col min="1785" max="1785" width="15.42578125" style="1" hidden="1"/>
    <col min="1786" max="1786" width="11.42578125" style="1" hidden="1"/>
    <col min="1787" max="1787" width="15.7109375" style="1" hidden="1"/>
    <col min="1788" max="1788" width="21.7109375" style="1" hidden="1"/>
    <col min="1789" max="1791" width="11.42578125" style="1" hidden="1"/>
    <col min="1792" max="1792" width="16" style="1" hidden="1"/>
    <col min="1793" max="1793" width="20.42578125" style="1" hidden="1"/>
    <col min="1794" max="2040" width="11.42578125" style="1" hidden="1"/>
    <col min="2041" max="2041" width="15.42578125" style="1" hidden="1"/>
    <col min="2042" max="2042" width="11.42578125" style="1" hidden="1"/>
    <col min="2043" max="2043" width="15.7109375" style="1" hidden="1"/>
    <col min="2044" max="2044" width="21.7109375" style="1" hidden="1"/>
    <col min="2045" max="2047" width="11.42578125" style="1" hidden="1"/>
    <col min="2048" max="2048" width="16" style="1" hidden="1"/>
    <col min="2049" max="2049" width="20.42578125" style="1" hidden="1"/>
    <col min="2050" max="2296" width="11.42578125" style="1" hidden="1"/>
    <col min="2297" max="2297" width="15.42578125" style="1" hidden="1"/>
    <col min="2298" max="2298" width="11.42578125" style="1" hidden="1"/>
    <col min="2299" max="2299" width="15.7109375" style="1" hidden="1"/>
    <col min="2300" max="2300" width="21.7109375" style="1" hidden="1"/>
    <col min="2301" max="2303" width="11.42578125" style="1" hidden="1"/>
    <col min="2304" max="2304" width="16" style="1" hidden="1"/>
    <col min="2305" max="2305" width="20.42578125" style="1" hidden="1"/>
    <col min="2306" max="2552" width="11.42578125" style="1" hidden="1"/>
    <col min="2553" max="2553" width="15.42578125" style="1" hidden="1"/>
    <col min="2554" max="2554" width="11.42578125" style="1" hidden="1"/>
    <col min="2555" max="2555" width="15.7109375" style="1" hidden="1"/>
    <col min="2556" max="2556" width="21.7109375" style="1" hidden="1"/>
    <col min="2557" max="2559" width="11.42578125" style="1" hidden="1"/>
    <col min="2560" max="2560" width="16" style="1" hidden="1"/>
    <col min="2561" max="2561" width="20.42578125" style="1" hidden="1"/>
    <col min="2562" max="2808" width="11.42578125" style="1" hidden="1"/>
    <col min="2809" max="2809" width="15.42578125" style="1" hidden="1"/>
    <col min="2810" max="2810" width="11.42578125" style="1" hidden="1"/>
    <col min="2811" max="2811" width="15.7109375" style="1" hidden="1"/>
    <col min="2812" max="2812" width="21.7109375" style="1" hidden="1"/>
    <col min="2813" max="2815" width="11.42578125" style="1" hidden="1"/>
    <col min="2816" max="2816" width="16" style="1" hidden="1"/>
    <col min="2817" max="2817" width="20.42578125" style="1" hidden="1"/>
    <col min="2818" max="3064" width="11.42578125" style="1" hidden="1"/>
    <col min="3065" max="3065" width="15.42578125" style="1" hidden="1"/>
    <col min="3066" max="3066" width="11.42578125" style="1" hidden="1"/>
    <col min="3067" max="3067" width="15.7109375" style="1" hidden="1"/>
    <col min="3068" max="3068" width="21.7109375" style="1" hidden="1"/>
    <col min="3069" max="3071" width="11.42578125" style="1" hidden="1"/>
    <col min="3072" max="3072" width="16" style="1" hidden="1"/>
    <col min="3073" max="3073" width="20.42578125" style="1" hidden="1"/>
    <col min="3074" max="3320" width="11.42578125" style="1" hidden="1"/>
    <col min="3321" max="3321" width="15.42578125" style="1" hidden="1"/>
    <col min="3322" max="3322" width="11.42578125" style="1" hidden="1"/>
    <col min="3323" max="3323" width="15.7109375" style="1" hidden="1"/>
    <col min="3324" max="3324" width="21.7109375" style="1" hidden="1"/>
    <col min="3325" max="3327" width="11.42578125" style="1" hidden="1"/>
    <col min="3328" max="3328" width="16" style="1" hidden="1"/>
    <col min="3329" max="3329" width="20.42578125" style="1" hidden="1"/>
    <col min="3330" max="3576" width="11.42578125" style="1" hidden="1"/>
    <col min="3577" max="3577" width="15.42578125" style="1" hidden="1"/>
    <col min="3578" max="3578" width="11.42578125" style="1" hidden="1"/>
    <col min="3579" max="3579" width="15.7109375" style="1" hidden="1"/>
    <col min="3580" max="3580" width="21.7109375" style="1" hidden="1"/>
    <col min="3581" max="3583" width="11.42578125" style="1" hidden="1"/>
    <col min="3584" max="3584" width="16" style="1" hidden="1"/>
    <col min="3585" max="3585" width="20.42578125" style="1" hidden="1"/>
    <col min="3586" max="3832" width="11.42578125" style="1" hidden="1"/>
    <col min="3833" max="3833" width="15.42578125" style="1" hidden="1"/>
    <col min="3834" max="3834" width="11.42578125" style="1" hidden="1"/>
    <col min="3835" max="3835" width="15.7109375" style="1" hidden="1"/>
    <col min="3836" max="3836" width="21.7109375" style="1" hidden="1"/>
    <col min="3837" max="3839" width="11.42578125" style="1" hidden="1"/>
    <col min="3840" max="3840" width="16" style="1" hidden="1"/>
    <col min="3841" max="3841" width="20.42578125" style="1" hidden="1"/>
    <col min="3842" max="4088" width="11.42578125" style="1" hidden="1"/>
    <col min="4089" max="4089" width="15.42578125" style="1" hidden="1"/>
    <col min="4090" max="4090" width="11.42578125" style="1" hidden="1"/>
    <col min="4091" max="4091" width="15.7109375" style="1" hidden="1"/>
    <col min="4092" max="4092" width="21.7109375" style="1" hidden="1"/>
    <col min="4093" max="4095" width="11.42578125" style="1" hidden="1"/>
    <col min="4096" max="4096" width="16" style="1" hidden="1"/>
    <col min="4097" max="4097" width="20.42578125" style="1" hidden="1"/>
    <col min="4098" max="4344" width="11.42578125" style="1" hidden="1"/>
    <col min="4345" max="4345" width="15.42578125" style="1" hidden="1"/>
    <col min="4346" max="4346" width="11.42578125" style="1" hidden="1"/>
    <col min="4347" max="4347" width="15.7109375" style="1" hidden="1"/>
    <col min="4348" max="4348" width="21.7109375" style="1" hidden="1"/>
    <col min="4349" max="4351" width="11.42578125" style="1" hidden="1"/>
    <col min="4352" max="4352" width="16" style="1" hidden="1"/>
    <col min="4353" max="4353" width="20.42578125" style="1" hidden="1"/>
    <col min="4354" max="4600" width="11.42578125" style="1" hidden="1"/>
    <col min="4601" max="4601" width="15.42578125" style="1" hidden="1"/>
    <col min="4602" max="4602" width="11.42578125" style="1" hidden="1"/>
    <col min="4603" max="4603" width="15.7109375" style="1" hidden="1"/>
    <col min="4604" max="4604" width="21.7109375" style="1" hidden="1"/>
    <col min="4605" max="4607" width="11.42578125" style="1" hidden="1"/>
    <col min="4608" max="4608" width="16" style="1" hidden="1"/>
    <col min="4609" max="4609" width="20.42578125" style="1" hidden="1"/>
    <col min="4610" max="4856" width="11.42578125" style="1" hidden="1"/>
    <col min="4857" max="4857" width="15.42578125" style="1" hidden="1"/>
    <col min="4858" max="4858" width="11.42578125" style="1" hidden="1"/>
    <col min="4859" max="4859" width="15.7109375" style="1" hidden="1"/>
    <col min="4860" max="4860" width="21.7109375" style="1" hidden="1"/>
    <col min="4861" max="4863" width="11.42578125" style="1" hidden="1"/>
    <col min="4864" max="4864" width="16" style="1" hidden="1"/>
    <col min="4865" max="4865" width="20.42578125" style="1" hidden="1"/>
    <col min="4866" max="5112" width="11.42578125" style="1" hidden="1"/>
    <col min="5113" max="5113" width="15.42578125" style="1" hidden="1"/>
    <col min="5114" max="5114" width="11.42578125" style="1" hidden="1"/>
    <col min="5115" max="5115" width="15.7109375" style="1" hidden="1"/>
    <col min="5116" max="5116" width="21.7109375" style="1" hidden="1"/>
    <col min="5117" max="5119" width="11.42578125" style="1" hidden="1"/>
    <col min="5120" max="5120" width="16" style="1" hidden="1"/>
    <col min="5121" max="5121" width="20.42578125" style="1" hidden="1"/>
    <col min="5122" max="5368" width="11.42578125" style="1" hidden="1"/>
    <col min="5369" max="5369" width="15.42578125" style="1" hidden="1"/>
    <col min="5370" max="5370" width="11.42578125" style="1" hidden="1"/>
    <col min="5371" max="5371" width="15.7109375" style="1" hidden="1"/>
    <col min="5372" max="5372" width="21.7109375" style="1" hidden="1"/>
    <col min="5373" max="5375" width="11.42578125" style="1" hidden="1"/>
    <col min="5376" max="5376" width="16" style="1" hidden="1"/>
    <col min="5377" max="5377" width="20.42578125" style="1" hidden="1"/>
    <col min="5378" max="5624" width="11.42578125" style="1" hidden="1"/>
    <col min="5625" max="5625" width="15.42578125" style="1" hidden="1"/>
    <col min="5626" max="5626" width="11.42578125" style="1" hidden="1"/>
    <col min="5627" max="5627" width="15.7109375" style="1" hidden="1"/>
    <col min="5628" max="5628" width="21.7109375" style="1" hidden="1"/>
    <col min="5629" max="5631" width="11.42578125" style="1" hidden="1"/>
    <col min="5632" max="5632" width="16" style="1" hidden="1"/>
    <col min="5633" max="5633" width="20.42578125" style="1" hidden="1"/>
    <col min="5634" max="5880" width="11.42578125" style="1" hidden="1"/>
    <col min="5881" max="5881" width="15.42578125" style="1" hidden="1"/>
    <col min="5882" max="5882" width="11.42578125" style="1" hidden="1"/>
    <col min="5883" max="5883" width="15.7109375" style="1" hidden="1"/>
    <col min="5884" max="5884" width="21.7109375" style="1" hidden="1"/>
    <col min="5885" max="5887" width="11.42578125" style="1" hidden="1"/>
    <col min="5888" max="5888" width="16" style="1" hidden="1"/>
    <col min="5889" max="5889" width="20.42578125" style="1" hidden="1"/>
    <col min="5890" max="6136" width="11.42578125" style="1" hidden="1"/>
    <col min="6137" max="6137" width="15.42578125" style="1" hidden="1"/>
    <col min="6138" max="6138" width="11.42578125" style="1" hidden="1"/>
    <col min="6139" max="6139" width="15.7109375" style="1" hidden="1"/>
    <col min="6140" max="6140" width="21.7109375" style="1" hidden="1"/>
    <col min="6141" max="6143" width="11.42578125" style="1" hidden="1"/>
    <col min="6144" max="6144" width="16" style="1" hidden="1"/>
    <col min="6145" max="6145" width="20.42578125" style="1" hidden="1"/>
    <col min="6146" max="6392" width="11.42578125" style="1" hidden="1"/>
    <col min="6393" max="6393" width="15.42578125" style="1" hidden="1"/>
    <col min="6394" max="6394" width="11.42578125" style="1" hidden="1"/>
    <col min="6395" max="6395" width="15.7109375" style="1" hidden="1"/>
    <col min="6396" max="6396" width="21.7109375" style="1" hidden="1"/>
    <col min="6397" max="6399" width="11.42578125" style="1" hidden="1"/>
    <col min="6400" max="6400" width="16" style="1" hidden="1"/>
    <col min="6401" max="6401" width="20.42578125" style="1" hidden="1"/>
    <col min="6402" max="6648" width="11.42578125" style="1" hidden="1"/>
    <col min="6649" max="6649" width="15.42578125" style="1" hidden="1"/>
    <col min="6650" max="6650" width="11.42578125" style="1" hidden="1"/>
    <col min="6651" max="6651" width="15.7109375" style="1" hidden="1"/>
    <col min="6652" max="6652" width="21.7109375" style="1" hidden="1"/>
    <col min="6653" max="6655" width="11.42578125" style="1" hidden="1"/>
    <col min="6656" max="6656" width="16" style="1" hidden="1"/>
    <col min="6657" max="6657" width="20.42578125" style="1" hidden="1"/>
    <col min="6658" max="6904" width="11.42578125" style="1" hidden="1"/>
    <col min="6905" max="6905" width="15.42578125" style="1" hidden="1"/>
    <col min="6906" max="6906" width="11.42578125" style="1" hidden="1"/>
    <col min="6907" max="6907" width="15.7109375" style="1" hidden="1"/>
    <col min="6908" max="6908" width="21.7109375" style="1" hidden="1"/>
    <col min="6909" max="6911" width="11.42578125" style="1" hidden="1"/>
    <col min="6912" max="6912" width="16" style="1" hidden="1"/>
    <col min="6913" max="6913" width="20.42578125" style="1" hidden="1"/>
    <col min="6914" max="7160" width="11.42578125" style="1" hidden="1"/>
    <col min="7161" max="7161" width="15.42578125" style="1" hidden="1"/>
    <col min="7162" max="7162" width="11.42578125" style="1" hidden="1"/>
    <col min="7163" max="7163" width="15.7109375" style="1" hidden="1"/>
    <col min="7164" max="7164" width="21.7109375" style="1" hidden="1"/>
    <col min="7165" max="7167" width="11.42578125" style="1" hidden="1"/>
    <col min="7168" max="7168" width="16" style="1" hidden="1"/>
    <col min="7169" max="7169" width="20.42578125" style="1" hidden="1"/>
    <col min="7170" max="7416" width="11.42578125" style="1" hidden="1"/>
    <col min="7417" max="7417" width="15.42578125" style="1" hidden="1"/>
    <col min="7418" max="7418" width="11.42578125" style="1" hidden="1"/>
    <col min="7419" max="7419" width="15.7109375" style="1" hidden="1"/>
    <col min="7420" max="7420" width="21.7109375" style="1" hidden="1"/>
    <col min="7421" max="7423" width="11.42578125" style="1" hidden="1"/>
    <col min="7424" max="7424" width="16" style="1" hidden="1"/>
    <col min="7425" max="7425" width="20.42578125" style="1" hidden="1"/>
    <col min="7426" max="7672" width="11.42578125" style="1" hidden="1"/>
    <col min="7673" max="7673" width="15.42578125" style="1" hidden="1"/>
    <col min="7674" max="7674" width="11.42578125" style="1" hidden="1"/>
    <col min="7675" max="7675" width="15.7109375" style="1" hidden="1"/>
    <col min="7676" max="7676" width="21.7109375" style="1" hidden="1"/>
    <col min="7677" max="7679" width="11.42578125" style="1" hidden="1"/>
    <col min="7680" max="7680" width="16" style="1" hidden="1"/>
    <col min="7681" max="7681" width="20.42578125" style="1" hidden="1"/>
    <col min="7682" max="7928" width="11.42578125" style="1" hidden="1"/>
    <col min="7929" max="7929" width="15.42578125" style="1" hidden="1"/>
    <col min="7930" max="7930" width="11.42578125" style="1" hidden="1"/>
    <col min="7931" max="7931" width="15.7109375" style="1" hidden="1"/>
    <col min="7932" max="7932" width="21.7109375" style="1" hidden="1"/>
    <col min="7933" max="7935" width="11.42578125" style="1" hidden="1"/>
    <col min="7936" max="7936" width="16" style="1" hidden="1"/>
    <col min="7937" max="7937" width="20.42578125" style="1" hidden="1"/>
    <col min="7938" max="8184" width="11.42578125" style="1" hidden="1"/>
    <col min="8185" max="8185" width="15.42578125" style="1" hidden="1"/>
    <col min="8186" max="8186" width="11.42578125" style="1" hidden="1"/>
    <col min="8187" max="8187" width="15.7109375" style="1" hidden="1"/>
    <col min="8188" max="8188" width="21.7109375" style="1" hidden="1"/>
    <col min="8189" max="8191" width="11.42578125" style="1" hidden="1"/>
    <col min="8192" max="8192" width="16" style="1" hidden="1"/>
    <col min="8193" max="8193" width="20.42578125" style="1" hidden="1"/>
    <col min="8194" max="8440" width="11.42578125" style="1" hidden="1"/>
    <col min="8441" max="8441" width="15.42578125" style="1" hidden="1"/>
    <col min="8442" max="8442" width="11.42578125" style="1" hidden="1"/>
    <col min="8443" max="8443" width="15.7109375" style="1" hidden="1"/>
    <col min="8444" max="8444" width="21.7109375" style="1" hidden="1"/>
    <col min="8445" max="8447" width="11.42578125" style="1" hidden="1"/>
    <col min="8448" max="8448" width="16" style="1" hidden="1"/>
    <col min="8449" max="8449" width="20.42578125" style="1" hidden="1"/>
    <col min="8450" max="8696" width="11.42578125" style="1" hidden="1"/>
    <col min="8697" max="8697" width="15.42578125" style="1" hidden="1"/>
    <col min="8698" max="8698" width="11.42578125" style="1" hidden="1"/>
    <col min="8699" max="8699" width="15.7109375" style="1" hidden="1"/>
    <col min="8700" max="8700" width="21.7109375" style="1" hidden="1"/>
    <col min="8701" max="8703" width="11.42578125" style="1" hidden="1"/>
    <col min="8704" max="8704" width="16" style="1" hidden="1"/>
    <col min="8705" max="8705" width="20.42578125" style="1" hidden="1"/>
    <col min="8706" max="8952" width="11.42578125" style="1" hidden="1"/>
    <col min="8953" max="8953" width="15.42578125" style="1" hidden="1"/>
    <col min="8954" max="8954" width="11.42578125" style="1" hidden="1"/>
    <col min="8955" max="8955" width="15.7109375" style="1" hidden="1"/>
    <col min="8956" max="8956" width="21.7109375" style="1" hidden="1"/>
    <col min="8957" max="8959" width="11.42578125" style="1" hidden="1"/>
    <col min="8960" max="8960" width="16" style="1" hidden="1"/>
    <col min="8961" max="8961" width="20.42578125" style="1" hidden="1"/>
    <col min="8962" max="9208" width="11.42578125" style="1" hidden="1"/>
    <col min="9209" max="9209" width="15.42578125" style="1" hidden="1"/>
    <col min="9210" max="9210" width="11.42578125" style="1" hidden="1"/>
    <col min="9211" max="9211" width="15.7109375" style="1" hidden="1"/>
    <col min="9212" max="9212" width="21.7109375" style="1" hidden="1"/>
    <col min="9213" max="9215" width="11.42578125" style="1" hidden="1"/>
    <col min="9216" max="9216" width="16" style="1" hidden="1"/>
    <col min="9217" max="9217" width="20.42578125" style="1" hidden="1"/>
    <col min="9218" max="9464" width="11.42578125" style="1" hidden="1"/>
    <col min="9465" max="9465" width="15.42578125" style="1" hidden="1"/>
    <col min="9466" max="9466" width="11.42578125" style="1" hidden="1"/>
    <col min="9467" max="9467" width="15.7109375" style="1" hidden="1"/>
    <col min="9468" max="9468" width="21.7109375" style="1" hidden="1"/>
    <col min="9469" max="9471" width="11.42578125" style="1" hidden="1"/>
    <col min="9472" max="9472" width="16" style="1" hidden="1"/>
    <col min="9473" max="9473" width="20.42578125" style="1" hidden="1"/>
    <col min="9474" max="9720" width="11.42578125" style="1" hidden="1"/>
    <col min="9721" max="9721" width="15.42578125" style="1" hidden="1"/>
    <col min="9722" max="9722" width="11.42578125" style="1" hidden="1"/>
    <col min="9723" max="9723" width="15.7109375" style="1" hidden="1"/>
    <col min="9724" max="9724" width="21.7109375" style="1" hidden="1"/>
    <col min="9725" max="9727" width="11.42578125" style="1" hidden="1"/>
    <col min="9728" max="9728" width="16" style="1" hidden="1"/>
    <col min="9729" max="9729" width="20.42578125" style="1" hidden="1"/>
    <col min="9730" max="9976" width="11.42578125" style="1" hidden="1"/>
    <col min="9977" max="9977" width="15.42578125" style="1" hidden="1"/>
    <col min="9978" max="9978" width="11.42578125" style="1" hidden="1"/>
    <col min="9979" max="9979" width="15.7109375" style="1" hidden="1"/>
    <col min="9980" max="9980" width="21.7109375" style="1" hidden="1"/>
    <col min="9981" max="9983" width="11.42578125" style="1" hidden="1"/>
    <col min="9984" max="9984" width="16" style="1" hidden="1"/>
    <col min="9985" max="9985" width="20.42578125" style="1" hidden="1"/>
    <col min="9986" max="10232" width="11.42578125" style="1" hidden="1"/>
    <col min="10233" max="10233" width="15.42578125" style="1" hidden="1"/>
    <col min="10234" max="10234" width="11.42578125" style="1" hidden="1"/>
    <col min="10235" max="10235" width="15.7109375" style="1" hidden="1"/>
    <col min="10236" max="10236" width="21.7109375" style="1" hidden="1"/>
    <col min="10237" max="10239" width="11.42578125" style="1" hidden="1"/>
    <col min="10240" max="10240" width="16" style="1" hidden="1"/>
    <col min="10241" max="10241" width="20.42578125" style="1" hidden="1"/>
    <col min="10242" max="10488" width="11.42578125" style="1" hidden="1"/>
    <col min="10489" max="10489" width="15.42578125" style="1" hidden="1"/>
    <col min="10490" max="10490" width="11.42578125" style="1" hidden="1"/>
    <col min="10491" max="10491" width="15.7109375" style="1" hidden="1"/>
    <col min="10492" max="10492" width="21.7109375" style="1" hidden="1"/>
    <col min="10493" max="10495" width="11.42578125" style="1" hidden="1"/>
    <col min="10496" max="10496" width="16" style="1" hidden="1"/>
    <col min="10497" max="10497" width="20.42578125" style="1" hidden="1"/>
    <col min="10498" max="10744" width="11.42578125" style="1" hidden="1"/>
    <col min="10745" max="10745" width="15.42578125" style="1" hidden="1"/>
    <col min="10746" max="10746" width="11.42578125" style="1" hidden="1"/>
    <col min="10747" max="10747" width="15.7109375" style="1" hidden="1"/>
    <col min="10748" max="10748" width="21.7109375" style="1" hidden="1"/>
    <col min="10749" max="10751" width="11.42578125" style="1" hidden="1"/>
    <col min="10752" max="10752" width="16" style="1" hidden="1"/>
    <col min="10753" max="10753" width="20.42578125" style="1" hidden="1"/>
    <col min="10754" max="11000" width="11.42578125" style="1" hidden="1"/>
    <col min="11001" max="11001" width="15.42578125" style="1" hidden="1"/>
    <col min="11002" max="11002" width="11.42578125" style="1" hidden="1"/>
    <col min="11003" max="11003" width="15.7109375" style="1" hidden="1"/>
    <col min="11004" max="11004" width="21.7109375" style="1" hidden="1"/>
    <col min="11005" max="11007" width="11.42578125" style="1" hidden="1"/>
    <col min="11008" max="11008" width="16" style="1" hidden="1"/>
    <col min="11009" max="11009" width="20.42578125" style="1" hidden="1"/>
    <col min="11010" max="11256" width="11.42578125" style="1" hidden="1"/>
    <col min="11257" max="11257" width="15.42578125" style="1" hidden="1"/>
    <col min="11258" max="11258" width="11.42578125" style="1" hidden="1"/>
    <col min="11259" max="11259" width="15.7109375" style="1" hidden="1"/>
    <col min="11260" max="11260" width="21.7109375" style="1" hidden="1"/>
    <col min="11261" max="11263" width="11.42578125" style="1" hidden="1"/>
    <col min="11264" max="11264" width="16" style="1" hidden="1"/>
    <col min="11265" max="11265" width="20.42578125" style="1" hidden="1"/>
    <col min="11266" max="11512" width="11.42578125" style="1" hidden="1"/>
    <col min="11513" max="11513" width="15.42578125" style="1" hidden="1"/>
    <col min="11514" max="11514" width="11.42578125" style="1" hidden="1"/>
    <col min="11515" max="11515" width="15.7109375" style="1" hidden="1"/>
    <col min="11516" max="11516" width="21.7109375" style="1" hidden="1"/>
    <col min="11517" max="11519" width="11.42578125" style="1" hidden="1"/>
    <col min="11520" max="11520" width="16" style="1" hidden="1"/>
    <col min="11521" max="11521" width="20.42578125" style="1" hidden="1"/>
    <col min="11522" max="11768" width="11.42578125" style="1" hidden="1"/>
    <col min="11769" max="11769" width="15.42578125" style="1" hidden="1"/>
    <col min="11770" max="11770" width="11.42578125" style="1" hidden="1"/>
    <col min="11771" max="11771" width="15.7109375" style="1" hidden="1"/>
    <col min="11772" max="11772" width="21.7109375" style="1" hidden="1"/>
    <col min="11773" max="11775" width="11.42578125" style="1" hidden="1"/>
    <col min="11776" max="11776" width="16" style="1" hidden="1"/>
    <col min="11777" max="11777" width="20.42578125" style="1" hidden="1"/>
    <col min="11778" max="12024" width="11.42578125" style="1" hidden="1"/>
    <col min="12025" max="12025" width="15.42578125" style="1" hidden="1"/>
    <col min="12026" max="12026" width="11.42578125" style="1" hidden="1"/>
    <col min="12027" max="12027" width="15.7109375" style="1" hidden="1"/>
    <col min="12028" max="12028" width="21.7109375" style="1" hidden="1"/>
    <col min="12029" max="12031" width="11.42578125" style="1" hidden="1"/>
    <col min="12032" max="12032" width="16" style="1" hidden="1"/>
    <col min="12033" max="12033" width="20.42578125" style="1" hidden="1"/>
    <col min="12034" max="12280" width="11.42578125" style="1" hidden="1"/>
    <col min="12281" max="12281" width="15.42578125" style="1" hidden="1"/>
    <col min="12282" max="12282" width="11.42578125" style="1" hidden="1"/>
    <col min="12283" max="12283" width="15.7109375" style="1" hidden="1"/>
    <col min="12284" max="12284" width="21.7109375" style="1" hidden="1"/>
    <col min="12285" max="12287" width="11.42578125" style="1" hidden="1"/>
    <col min="12288" max="12288" width="16" style="1" hidden="1"/>
    <col min="12289" max="12289" width="20.42578125" style="1" hidden="1"/>
    <col min="12290" max="12536" width="11.42578125" style="1" hidden="1"/>
    <col min="12537" max="12537" width="15.42578125" style="1" hidden="1"/>
    <col min="12538" max="12538" width="11.42578125" style="1" hidden="1"/>
    <col min="12539" max="12539" width="15.7109375" style="1" hidden="1"/>
    <col min="12540" max="12540" width="21.7109375" style="1" hidden="1"/>
    <col min="12541" max="12543" width="11.42578125" style="1" hidden="1"/>
    <col min="12544" max="12544" width="16" style="1" hidden="1"/>
    <col min="12545" max="12545" width="20.42578125" style="1" hidden="1"/>
    <col min="12546" max="12792" width="11.42578125" style="1" hidden="1"/>
    <col min="12793" max="12793" width="15.42578125" style="1" hidden="1"/>
    <col min="12794" max="12794" width="11.42578125" style="1" hidden="1"/>
    <col min="12795" max="12795" width="15.7109375" style="1" hidden="1"/>
    <col min="12796" max="12796" width="21.7109375" style="1" hidden="1"/>
    <col min="12797" max="12799" width="11.42578125" style="1" hidden="1"/>
    <col min="12800" max="12800" width="16" style="1" hidden="1"/>
    <col min="12801" max="12801" width="20.42578125" style="1" hidden="1"/>
    <col min="12802" max="13048" width="11.42578125" style="1" hidden="1"/>
    <col min="13049" max="13049" width="15.42578125" style="1" hidden="1"/>
    <col min="13050" max="13050" width="11.42578125" style="1" hidden="1"/>
    <col min="13051" max="13051" width="15.7109375" style="1" hidden="1"/>
    <col min="13052" max="13052" width="21.7109375" style="1" hidden="1"/>
    <col min="13053" max="13055" width="11.42578125" style="1" hidden="1"/>
    <col min="13056" max="13056" width="16" style="1" hidden="1"/>
    <col min="13057" max="13057" width="20.42578125" style="1" hidden="1"/>
    <col min="13058" max="13304" width="11.42578125" style="1" hidden="1"/>
    <col min="13305" max="13305" width="15.42578125" style="1" hidden="1"/>
    <col min="13306" max="13306" width="11.42578125" style="1" hidden="1"/>
    <col min="13307" max="13307" width="15.7109375" style="1" hidden="1"/>
    <col min="13308" max="13308" width="21.7109375" style="1" hidden="1"/>
    <col min="13309" max="13311" width="11.42578125" style="1" hidden="1"/>
    <col min="13312" max="13312" width="16" style="1" hidden="1"/>
    <col min="13313" max="13313" width="20.42578125" style="1" hidden="1"/>
    <col min="13314" max="13560" width="11.42578125" style="1" hidden="1"/>
    <col min="13561" max="13561" width="15.42578125" style="1" hidden="1"/>
    <col min="13562" max="13562" width="11.42578125" style="1" hidden="1"/>
    <col min="13563" max="13563" width="15.7109375" style="1" hidden="1"/>
    <col min="13564" max="13564" width="21.7109375" style="1" hidden="1"/>
    <col min="13565" max="13567" width="11.42578125" style="1" hidden="1"/>
    <col min="13568" max="13568" width="16" style="1" hidden="1"/>
    <col min="13569" max="13569" width="20.42578125" style="1" hidden="1"/>
    <col min="13570" max="13816" width="11.42578125" style="1" hidden="1"/>
    <col min="13817" max="13817" width="15.42578125" style="1" hidden="1"/>
    <col min="13818" max="13818" width="11.42578125" style="1" hidden="1"/>
    <col min="13819" max="13819" width="15.7109375" style="1" hidden="1"/>
    <col min="13820" max="13820" width="21.7109375" style="1" hidden="1"/>
    <col min="13821" max="13823" width="11.42578125" style="1" hidden="1"/>
    <col min="13824" max="13824" width="16" style="1" hidden="1"/>
    <col min="13825" max="13825" width="20.42578125" style="1" hidden="1"/>
    <col min="13826" max="14072" width="11.42578125" style="1" hidden="1"/>
    <col min="14073" max="14073" width="15.42578125" style="1" hidden="1"/>
    <col min="14074" max="14074" width="11.42578125" style="1" hidden="1"/>
    <col min="14075" max="14075" width="15.7109375" style="1" hidden="1"/>
    <col min="14076" max="14076" width="21.7109375" style="1" hidden="1"/>
    <col min="14077" max="14079" width="11.42578125" style="1" hidden="1"/>
    <col min="14080" max="14080" width="16" style="1" hidden="1"/>
    <col min="14081" max="14081" width="20.42578125" style="1" hidden="1"/>
    <col min="14082" max="14328" width="11.42578125" style="1" hidden="1"/>
    <col min="14329" max="14329" width="15.42578125" style="1" hidden="1"/>
    <col min="14330" max="14330" width="11.42578125" style="1" hidden="1"/>
    <col min="14331" max="14331" width="15.7109375" style="1" hidden="1"/>
    <col min="14332" max="14332" width="21.7109375" style="1" hidden="1"/>
    <col min="14333" max="14335" width="11.42578125" style="1" hidden="1"/>
    <col min="14336" max="14336" width="16" style="1" hidden="1"/>
    <col min="14337" max="14337" width="20.42578125" style="1" hidden="1"/>
    <col min="14338" max="14584" width="11.42578125" style="1" hidden="1"/>
    <col min="14585" max="14585" width="15.42578125" style="1" hidden="1"/>
    <col min="14586" max="14586" width="11.42578125" style="1" hidden="1"/>
    <col min="14587" max="14587" width="15.7109375" style="1" hidden="1"/>
    <col min="14588" max="14588" width="21.7109375" style="1" hidden="1"/>
    <col min="14589" max="14591" width="11.42578125" style="1" hidden="1"/>
    <col min="14592" max="14592" width="16" style="1" hidden="1"/>
    <col min="14593" max="14593" width="20.42578125" style="1" hidden="1"/>
    <col min="14594" max="14840" width="11.42578125" style="1" hidden="1"/>
    <col min="14841" max="14841" width="15.42578125" style="1" hidden="1"/>
    <col min="14842" max="14842" width="11.42578125" style="1" hidden="1"/>
    <col min="14843" max="14843" width="15.7109375" style="1" hidden="1"/>
    <col min="14844" max="14844" width="21.7109375" style="1" hidden="1"/>
    <col min="14845" max="14847" width="11.42578125" style="1" hidden="1"/>
    <col min="14848" max="14848" width="16" style="1" hidden="1"/>
    <col min="14849" max="14849" width="20.42578125" style="1" hidden="1"/>
    <col min="14850" max="15096" width="11.42578125" style="1" hidden="1"/>
    <col min="15097" max="15097" width="15.42578125" style="1" hidden="1"/>
    <col min="15098" max="15098" width="11.42578125" style="1" hidden="1"/>
    <col min="15099" max="15099" width="15.7109375" style="1" hidden="1"/>
    <col min="15100" max="15100" width="21.7109375" style="1" hidden="1"/>
    <col min="15101" max="15103" width="11.42578125" style="1" hidden="1"/>
    <col min="15104" max="15104" width="16" style="1" hidden="1"/>
    <col min="15105" max="15105" width="20.42578125" style="1" hidden="1"/>
    <col min="15106" max="15352" width="11.42578125" style="1" hidden="1"/>
    <col min="15353" max="15353" width="15.42578125" style="1" hidden="1"/>
    <col min="15354" max="15354" width="11.42578125" style="1" hidden="1"/>
    <col min="15355" max="15355" width="15.7109375" style="1" hidden="1"/>
    <col min="15356" max="15356" width="21.7109375" style="1" hidden="1"/>
    <col min="15357" max="15359" width="11.42578125" style="1" hidden="1"/>
    <col min="15360" max="15360" width="16" style="1" hidden="1"/>
    <col min="15361" max="15361" width="20.42578125" style="1" hidden="1"/>
    <col min="15362" max="15608" width="11.42578125" style="1" hidden="1"/>
    <col min="15609" max="15609" width="15.42578125" style="1" hidden="1"/>
    <col min="15610" max="15610" width="11.42578125" style="1" hidden="1"/>
    <col min="15611" max="15611" width="15.7109375" style="1" hidden="1"/>
    <col min="15612" max="15612" width="21.7109375" style="1" hidden="1"/>
    <col min="15613" max="15615" width="11.42578125" style="1" hidden="1"/>
    <col min="15616" max="15616" width="16" style="1" hidden="1"/>
    <col min="15617" max="15617" width="20.42578125" style="1" hidden="1"/>
    <col min="15618" max="15864" width="11.42578125" style="1" hidden="1"/>
    <col min="15865" max="15865" width="15.42578125" style="1" hidden="1"/>
    <col min="15866" max="15866" width="11.42578125" style="1" hidden="1"/>
    <col min="15867" max="15867" width="15.7109375" style="1" hidden="1"/>
    <col min="15868" max="15868" width="21.7109375" style="1" hidden="1"/>
    <col min="15869" max="15871" width="11.42578125" style="1" hidden="1"/>
    <col min="15872" max="15872" width="16" style="1" hidden="1"/>
    <col min="15873" max="15873" width="20.42578125" style="1" hidden="1"/>
    <col min="15874" max="16120" width="11.42578125" style="1" hidden="1"/>
    <col min="16121" max="16121" width="15.42578125" style="1" hidden="1"/>
    <col min="16122" max="16122" width="11.42578125" style="1" hidden="1"/>
    <col min="16123" max="16123" width="15.7109375" style="1" hidden="1"/>
    <col min="16124" max="16124" width="21.7109375" style="1" hidden="1"/>
    <col min="16125" max="16127" width="11.42578125" style="1" hidden="1"/>
    <col min="16128" max="16128" width="16" style="1" hidden="1"/>
    <col min="16129" max="16129" width="20.42578125" style="1" hidden="1"/>
    <col min="16130" max="16130" width="11.42578125" style="1" hidden="1"/>
    <col min="16131" max="16131" width="16" style="1" hidden="1"/>
    <col min="16132" max="16132" width="20.42578125" style="1" hidden="1"/>
    <col min="16133" max="16133" width="16" style="1" hidden="1"/>
    <col min="16134" max="16141" width="20.42578125" style="1" hidden="1"/>
    <col min="16142" max="16384" width="11.42578125" style="1" hidden="1"/>
  </cols>
  <sheetData>
    <row r="1" spans="1:24" ht="56.65" customHeight="1" x14ac:dyDescent="0.2">
      <c r="A1" s="26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/>
      <c r="H1" s="65" t="s">
        <v>85</v>
      </c>
      <c r="I1" s="66" t="s">
        <v>86</v>
      </c>
      <c r="J1" s="66" t="s">
        <v>87</v>
      </c>
      <c r="K1" s="27" t="s">
        <v>52</v>
      </c>
      <c r="L1" s="27" t="s">
        <v>126</v>
      </c>
      <c r="M1" s="28" t="s">
        <v>8</v>
      </c>
      <c r="N1" s="4"/>
      <c r="O1" s="4"/>
      <c r="P1" s="37" t="s">
        <v>143</v>
      </c>
      <c r="Q1" s="37" t="s">
        <v>44</v>
      </c>
      <c r="R1" s="37" t="s">
        <v>32</v>
      </c>
      <c r="S1" s="4"/>
      <c r="T1" s="5" t="s">
        <v>34</v>
      </c>
      <c r="U1" s="5" t="s">
        <v>35</v>
      </c>
      <c r="V1" s="5" t="s">
        <v>36</v>
      </c>
      <c r="W1" s="5" t="s">
        <v>7</v>
      </c>
      <c r="X1" s="4" t="s">
        <v>6</v>
      </c>
    </row>
    <row r="2" spans="1:24" ht="13.9" customHeight="1" x14ac:dyDescent="0.2">
      <c r="A2" s="50" t="str">
        <f>RAWDATA!B2</f>
        <v>applicant.last_name</v>
      </c>
      <c r="B2" s="50" t="str">
        <f>RAWDATA!C2</f>
        <v>applicant.first_name</v>
      </c>
      <c r="C2" s="51" t="str">
        <f>RAWDATA!D2</f>
        <v>applicant.origin.short_name</v>
      </c>
      <c r="D2" s="51" t="str">
        <f>RAWDATA!E2</f>
        <v>applicant.tag</v>
      </c>
      <c r="E2" s="53" t="e">
        <f>ROUNDUP(M2/0.5,0)*0.5</f>
        <v>#VALUE!</v>
      </c>
      <c r="F2" s="30" t="e">
        <f>LOOKUP(E2,{0;1;49.1;55.1;61.1;67.1;72.1;78.1;84.1;89.1;94.1;97.1},{"KP";"NB";4;3.7;3.3;3;2.7;2.3;2;1.7;1.3;1})</f>
        <v>#VALUE!</v>
      </c>
      <c r="G2" s="29"/>
      <c r="H2" s="52"/>
      <c r="I2" s="52"/>
      <c r="J2" s="52"/>
      <c r="K2" s="32">
        <f t="shared" ref="K2:K25" si="0">SUM(H2:J2)</f>
        <v>0</v>
      </c>
      <c r="L2" s="80">
        <f>IF(ISBLANK(Extrapunkte!J3),0,Extrapunkte!J3)</f>
        <v>0</v>
      </c>
      <c r="M2" s="32" t="str">
        <f>IF(ISBLANK(RAWDATA!F2),SUM(K2:L2),RAWDATA!F2)</f>
        <v>attendance.sanitized_grade</v>
      </c>
      <c r="N2" s="4"/>
      <c r="O2" s="4"/>
      <c r="P2" s="84" t="str">
        <f>RAWDATA!J2</f>
        <v>attendance.hide_grade_str</v>
      </c>
      <c r="Q2" s="83" t="str">
        <f>RAWDATA!G2</f>
        <v>attendance.ects_points</v>
      </c>
      <c r="R2" s="32" t="e">
        <f t="shared" ref="R2:R26" si="1">IF(OR(F2="NB",F2="KP"),"","X")</f>
        <v>#VALUE!</v>
      </c>
      <c r="S2" s="4"/>
      <c r="T2" s="2" t="str">
        <f>IF(M2&gt;0,$B$33,0)</f>
        <v>course.ects_points</v>
      </c>
      <c r="U2" s="2" t="str">
        <f>IF(M2&gt;0,$B$32,0)</f>
        <v>course.ger</v>
      </c>
      <c r="V2" s="10" t="e">
        <f>IF(M2&gt;0,$F$28,0)</f>
        <v>#DIV/0!</v>
      </c>
      <c r="W2" s="1" t="str">
        <f>IF(M2&gt;0,$B$34,0)</f>
        <v>course.name</v>
      </c>
      <c r="X2" s="1" t="str">
        <f>IF(M2&gt;0,$B$31,0)</f>
        <v>course.teacher_name</v>
      </c>
    </row>
    <row r="3" spans="1:24" ht="13.9" customHeight="1" x14ac:dyDescent="0.2">
      <c r="A3" s="50">
        <f>RAWDATA!B3</f>
        <v>0</v>
      </c>
      <c r="B3" s="50">
        <f>RAWDATA!C3</f>
        <v>0</v>
      </c>
      <c r="C3" s="51">
        <f>RAWDATA!D3</f>
        <v>0</v>
      </c>
      <c r="D3" s="51">
        <f>RAWDATA!E3</f>
        <v>0</v>
      </c>
      <c r="E3" s="53">
        <f t="shared" ref="E3:E26" si="2">ROUNDUP(M3/0.5,0)*0.5</f>
        <v>0</v>
      </c>
      <c r="F3" s="30" t="str">
        <f>LOOKUP(E3,{0;1;49.1;55.1;61.1;67.1;72.1;78.1;84.1;89.1;94.1;97.1},{"KP";"NB";4;3.7;3.3;3;2.7;2.3;2;1.7;1.3;1})</f>
        <v>KP</v>
      </c>
      <c r="G3" s="29"/>
      <c r="H3" s="52"/>
      <c r="I3" s="52"/>
      <c r="J3" s="52"/>
      <c r="K3" s="32">
        <f t="shared" si="0"/>
        <v>0</v>
      </c>
      <c r="L3" s="80">
        <f>IF(ISBLANK(Extrapunkte!J4),0,Extrapunkte!J4)</f>
        <v>0</v>
      </c>
      <c r="M3" s="32">
        <f>IF(ISBLANK(RAWDATA!F3),SUM(K3:L3),RAWDATA!F3)</f>
        <v>0</v>
      </c>
      <c r="N3" s="4"/>
      <c r="O3" s="4"/>
      <c r="P3" s="84">
        <f>RAWDATA!J3</f>
        <v>0</v>
      </c>
      <c r="Q3" s="83">
        <f>RAWDATA!G3</f>
        <v>0</v>
      </c>
      <c r="R3" s="32" t="str">
        <f t="shared" si="1"/>
        <v/>
      </c>
      <c r="S3" s="4"/>
      <c r="T3" s="2">
        <f t="shared" ref="T3:T26" si="3">IF(M3&gt;0,$B$33,0)</f>
        <v>0</v>
      </c>
      <c r="U3" s="2">
        <f t="shared" ref="U3:U26" si="4">IF(M3&gt;0,$B$32,0)</f>
        <v>0</v>
      </c>
      <c r="V3" s="10">
        <f t="shared" ref="V3:V26" si="5">IF(M3&gt;0,$F$28,0)</f>
        <v>0</v>
      </c>
      <c r="W3" s="1">
        <f t="shared" ref="W3:W26" si="6">IF(M3&gt;0,$B$34,0)</f>
        <v>0</v>
      </c>
      <c r="X3" s="1">
        <f t="shared" ref="X3:X26" si="7">IF(M3&gt;0,$B$31,0)</f>
        <v>0</v>
      </c>
    </row>
    <row r="4" spans="1:24" ht="13.9" customHeight="1" x14ac:dyDescent="0.2">
      <c r="A4" s="50">
        <f>RAWDATA!B4</f>
        <v>0</v>
      </c>
      <c r="B4" s="50">
        <f>RAWDATA!C4</f>
        <v>0</v>
      </c>
      <c r="C4" s="51">
        <f>RAWDATA!D4</f>
        <v>0</v>
      </c>
      <c r="D4" s="51">
        <f>RAWDATA!E4</f>
        <v>0</v>
      </c>
      <c r="E4" s="53">
        <f t="shared" si="2"/>
        <v>0</v>
      </c>
      <c r="F4" s="30" t="str">
        <f>LOOKUP(E4,{0;1;49.1;55.1;61.1;67.1;72.1;78.1;84.1;89.1;94.1;97.1},{"KP";"NB";4;3.7;3.3;3;2.7;2.3;2;1.7;1.3;1})</f>
        <v>KP</v>
      </c>
      <c r="G4" s="29"/>
      <c r="H4" s="52"/>
      <c r="I4" s="52"/>
      <c r="J4" s="52"/>
      <c r="K4" s="32">
        <f t="shared" si="0"/>
        <v>0</v>
      </c>
      <c r="L4" s="80">
        <f>IF(ISBLANK(Extrapunkte!J5),0,Extrapunkte!J5)</f>
        <v>0</v>
      </c>
      <c r="M4" s="32">
        <f>IF(ISBLANK(RAWDATA!F4),SUM(K4:L4),RAWDATA!F4)</f>
        <v>0</v>
      </c>
      <c r="N4" s="4"/>
      <c r="O4" s="4"/>
      <c r="P4" s="84">
        <f>RAWDATA!J4</f>
        <v>0</v>
      </c>
      <c r="Q4" s="83">
        <f>RAWDATA!G4</f>
        <v>0</v>
      </c>
      <c r="R4" s="32" t="str">
        <f t="shared" si="1"/>
        <v/>
      </c>
      <c r="S4" s="4"/>
      <c r="T4" s="2">
        <f t="shared" si="3"/>
        <v>0</v>
      </c>
      <c r="U4" s="2">
        <f t="shared" si="4"/>
        <v>0</v>
      </c>
      <c r="V4" s="10">
        <f t="shared" si="5"/>
        <v>0</v>
      </c>
      <c r="W4" s="1">
        <f t="shared" si="6"/>
        <v>0</v>
      </c>
      <c r="X4" s="1">
        <f t="shared" si="7"/>
        <v>0</v>
      </c>
    </row>
    <row r="5" spans="1:24" ht="13.9" customHeight="1" x14ac:dyDescent="0.2">
      <c r="A5" s="50">
        <f>RAWDATA!B5</f>
        <v>0</v>
      </c>
      <c r="B5" s="50">
        <f>RAWDATA!C5</f>
        <v>0</v>
      </c>
      <c r="C5" s="51">
        <f>RAWDATA!D5</f>
        <v>0</v>
      </c>
      <c r="D5" s="51">
        <f>RAWDATA!E5</f>
        <v>0</v>
      </c>
      <c r="E5" s="53">
        <f t="shared" si="2"/>
        <v>0</v>
      </c>
      <c r="F5" s="30" t="str">
        <f>LOOKUP(E5,{0;1;49.1;55.1;61.1;67.1;72.1;78.1;84.1;89.1;94.1;97.1},{"KP";"NB";4;3.7;3.3;3;2.7;2.3;2;1.7;1.3;1})</f>
        <v>KP</v>
      </c>
      <c r="G5" s="29"/>
      <c r="H5" s="52"/>
      <c r="I5" s="52"/>
      <c r="J5" s="52"/>
      <c r="K5" s="32">
        <f t="shared" si="0"/>
        <v>0</v>
      </c>
      <c r="L5" s="80">
        <f>IF(ISBLANK(Extrapunkte!J6),0,Extrapunkte!J6)</f>
        <v>0</v>
      </c>
      <c r="M5" s="32">
        <f>IF(ISBLANK(RAWDATA!F5),SUM(K5:L5),RAWDATA!F5)</f>
        <v>0</v>
      </c>
      <c r="N5" s="4"/>
      <c r="O5" s="4"/>
      <c r="P5" s="84">
        <f>RAWDATA!J5</f>
        <v>0</v>
      </c>
      <c r="Q5" s="83">
        <f>RAWDATA!G5</f>
        <v>0</v>
      </c>
      <c r="R5" s="32" t="str">
        <f t="shared" si="1"/>
        <v/>
      </c>
      <c r="S5" s="4"/>
      <c r="T5" s="2">
        <f t="shared" si="3"/>
        <v>0</v>
      </c>
      <c r="U5" s="2">
        <f t="shared" si="4"/>
        <v>0</v>
      </c>
      <c r="V5" s="10">
        <f t="shared" si="5"/>
        <v>0</v>
      </c>
      <c r="W5" s="1">
        <f t="shared" si="6"/>
        <v>0</v>
      </c>
      <c r="X5" s="1">
        <f t="shared" si="7"/>
        <v>0</v>
      </c>
    </row>
    <row r="6" spans="1:24" ht="13.9" customHeight="1" x14ac:dyDescent="0.2">
      <c r="A6" s="50">
        <f>RAWDATA!B6</f>
        <v>0</v>
      </c>
      <c r="B6" s="50">
        <f>RAWDATA!C6</f>
        <v>0</v>
      </c>
      <c r="C6" s="51">
        <f>RAWDATA!D6</f>
        <v>0</v>
      </c>
      <c r="D6" s="51">
        <f>RAWDATA!E6</f>
        <v>0</v>
      </c>
      <c r="E6" s="53">
        <f t="shared" si="2"/>
        <v>0</v>
      </c>
      <c r="F6" s="30" t="str">
        <f>LOOKUP(E6,{0;1;49.1;55.1;61.1;67.1;72.1;78.1;84.1;89.1;94.1;97.1},{"KP";"NB";4;3.7;3.3;3;2.7;2.3;2;1.7;1.3;1})</f>
        <v>KP</v>
      </c>
      <c r="G6" s="29"/>
      <c r="H6" s="52"/>
      <c r="I6" s="52"/>
      <c r="J6" s="52"/>
      <c r="K6" s="32">
        <f t="shared" si="0"/>
        <v>0</v>
      </c>
      <c r="L6" s="80">
        <f>IF(ISBLANK(Extrapunkte!J7),0,Extrapunkte!J7)</f>
        <v>0</v>
      </c>
      <c r="M6" s="32">
        <f>IF(ISBLANK(RAWDATA!F6),SUM(K6:L6),RAWDATA!F6)</f>
        <v>0</v>
      </c>
      <c r="N6" s="4"/>
      <c r="O6" s="4"/>
      <c r="P6" s="84">
        <f>RAWDATA!J6</f>
        <v>0</v>
      </c>
      <c r="Q6" s="83">
        <f>RAWDATA!G6</f>
        <v>0</v>
      </c>
      <c r="R6" s="32" t="str">
        <f t="shared" si="1"/>
        <v/>
      </c>
      <c r="S6" s="4"/>
      <c r="T6" s="2">
        <f t="shared" si="3"/>
        <v>0</v>
      </c>
      <c r="U6" s="2">
        <f t="shared" si="4"/>
        <v>0</v>
      </c>
      <c r="V6" s="10">
        <f t="shared" si="5"/>
        <v>0</v>
      </c>
      <c r="W6" s="1">
        <f t="shared" si="6"/>
        <v>0</v>
      </c>
      <c r="X6" s="1">
        <f t="shared" si="7"/>
        <v>0</v>
      </c>
    </row>
    <row r="7" spans="1:24" ht="13.9" customHeight="1" x14ac:dyDescent="0.2">
      <c r="A7" s="50">
        <f>RAWDATA!B7</f>
        <v>0</v>
      </c>
      <c r="B7" s="50">
        <f>RAWDATA!C7</f>
        <v>0</v>
      </c>
      <c r="C7" s="51">
        <f>RAWDATA!D7</f>
        <v>0</v>
      </c>
      <c r="D7" s="51">
        <f>RAWDATA!E7</f>
        <v>0</v>
      </c>
      <c r="E7" s="53">
        <f t="shared" si="2"/>
        <v>0</v>
      </c>
      <c r="F7" s="30" t="str">
        <f>LOOKUP(E7,{0;1;49.1;55.1;61.1;67.1;72.1;78.1;84.1;89.1;94.1;97.1},{"KP";"NB";4;3.7;3.3;3;2.7;2.3;2;1.7;1.3;1})</f>
        <v>KP</v>
      </c>
      <c r="G7" s="29"/>
      <c r="H7" s="52"/>
      <c r="I7" s="52"/>
      <c r="J7" s="52"/>
      <c r="K7" s="32">
        <f t="shared" si="0"/>
        <v>0</v>
      </c>
      <c r="L7" s="80">
        <f>IF(ISBLANK(Extrapunkte!J8),0,Extrapunkte!J8)</f>
        <v>0</v>
      </c>
      <c r="M7" s="32">
        <f>IF(ISBLANK(RAWDATA!F7),SUM(K7:L7),RAWDATA!F7)</f>
        <v>0</v>
      </c>
      <c r="N7" s="4"/>
      <c r="O7" s="4"/>
      <c r="P7" s="84">
        <f>RAWDATA!J7</f>
        <v>0</v>
      </c>
      <c r="Q7" s="83">
        <f>RAWDATA!G7</f>
        <v>0</v>
      </c>
      <c r="R7" s="32" t="str">
        <f t="shared" si="1"/>
        <v/>
      </c>
      <c r="S7" s="4"/>
      <c r="T7" s="2">
        <f t="shared" si="3"/>
        <v>0</v>
      </c>
      <c r="U7" s="2">
        <f t="shared" si="4"/>
        <v>0</v>
      </c>
      <c r="V7" s="10">
        <f t="shared" si="5"/>
        <v>0</v>
      </c>
      <c r="W7" s="1">
        <f t="shared" si="6"/>
        <v>0</v>
      </c>
      <c r="X7" s="1">
        <f t="shared" si="7"/>
        <v>0</v>
      </c>
    </row>
    <row r="8" spans="1:24" ht="13.9" customHeight="1" x14ac:dyDescent="0.2">
      <c r="A8" s="50">
        <f>RAWDATA!B8</f>
        <v>0</v>
      </c>
      <c r="B8" s="50">
        <f>RAWDATA!C8</f>
        <v>0</v>
      </c>
      <c r="C8" s="51">
        <f>RAWDATA!D8</f>
        <v>0</v>
      </c>
      <c r="D8" s="51">
        <f>RAWDATA!E8</f>
        <v>0</v>
      </c>
      <c r="E8" s="53">
        <f t="shared" si="2"/>
        <v>0</v>
      </c>
      <c r="F8" s="30" t="str">
        <f>LOOKUP(E8,{0;1;49.1;55.1;61.1;67.1;72.1;78.1;84.1;89.1;94.1;97.1},{"KP";"NB";4;3.7;3.3;3;2.7;2.3;2;1.7;1.3;1})</f>
        <v>KP</v>
      </c>
      <c r="G8" s="29"/>
      <c r="H8" s="52"/>
      <c r="I8" s="52"/>
      <c r="J8" s="52"/>
      <c r="K8" s="32">
        <f t="shared" si="0"/>
        <v>0</v>
      </c>
      <c r="L8" s="80">
        <f>IF(ISBLANK(Extrapunkte!J9),0,Extrapunkte!J9)</f>
        <v>0</v>
      </c>
      <c r="M8" s="32">
        <f>IF(ISBLANK(RAWDATA!F8),SUM(K8:L8),RAWDATA!F8)</f>
        <v>0</v>
      </c>
      <c r="N8" s="4"/>
      <c r="O8" s="4"/>
      <c r="P8" s="84">
        <f>RAWDATA!J8</f>
        <v>0</v>
      </c>
      <c r="Q8" s="83">
        <f>RAWDATA!G8</f>
        <v>0</v>
      </c>
      <c r="R8" s="32" t="str">
        <f t="shared" si="1"/>
        <v/>
      </c>
      <c r="S8" s="4"/>
      <c r="T8" s="2">
        <f t="shared" si="3"/>
        <v>0</v>
      </c>
      <c r="U8" s="2">
        <f t="shared" si="4"/>
        <v>0</v>
      </c>
      <c r="V8" s="10">
        <f t="shared" si="5"/>
        <v>0</v>
      </c>
      <c r="W8" s="1">
        <f t="shared" si="6"/>
        <v>0</v>
      </c>
      <c r="X8" s="1">
        <f t="shared" si="7"/>
        <v>0</v>
      </c>
    </row>
    <row r="9" spans="1:24" ht="13.9" customHeight="1" x14ac:dyDescent="0.2">
      <c r="A9" s="50">
        <f>RAWDATA!B9</f>
        <v>0</v>
      </c>
      <c r="B9" s="50">
        <f>RAWDATA!C9</f>
        <v>0</v>
      </c>
      <c r="C9" s="51">
        <f>RAWDATA!D9</f>
        <v>0</v>
      </c>
      <c r="D9" s="51">
        <f>RAWDATA!E9</f>
        <v>0</v>
      </c>
      <c r="E9" s="53">
        <f t="shared" si="2"/>
        <v>0</v>
      </c>
      <c r="F9" s="30" t="str">
        <f>LOOKUP(E9,{0;1;49.1;55.1;61.1;67.1;72.1;78.1;84.1;89.1;94.1;97.1},{"KP";"NB";4;3.7;3.3;3;2.7;2.3;2;1.7;1.3;1})</f>
        <v>KP</v>
      </c>
      <c r="G9" s="29"/>
      <c r="H9" s="52"/>
      <c r="I9" s="52"/>
      <c r="J9" s="52"/>
      <c r="K9" s="32">
        <f t="shared" si="0"/>
        <v>0</v>
      </c>
      <c r="L9" s="80">
        <f>IF(ISBLANK(Extrapunkte!J10),0,Extrapunkte!J10)</f>
        <v>0</v>
      </c>
      <c r="M9" s="32">
        <f>IF(ISBLANK(RAWDATA!F9),SUM(K9:L9),RAWDATA!F9)</f>
        <v>0</v>
      </c>
      <c r="N9" s="4"/>
      <c r="O9" s="4"/>
      <c r="P9" s="84">
        <f>RAWDATA!J9</f>
        <v>0</v>
      </c>
      <c r="Q9" s="83">
        <f>RAWDATA!G9</f>
        <v>0</v>
      </c>
      <c r="R9" s="32" t="str">
        <f t="shared" si="1"/>
        <v/>
      </c>
      <c r="S9" s="4"/>
      <c r="T9" s="2">
        <f t="shared" si="3"/>
        <v>0</v>
      </c>
      <c r="U9" s="2">
        <f t="shared" si="4"/>
        <v>0</v>
      </c>
      <c r="V9" s="10">
        <f t="shared" si="5"/>
        <v>0</v>
      </c>
      <c r="W9" s="1">
        <f t="shared" si="6"/>
        <v>0</v>
      </c>
      <c r="X9" s="1">
        <f t="shared" si="7"/>
        <v>0</v>
      </c>
    </row>
    <row r="10" spans="1:24" ht="13.9" customHeight="1" x14ac:dyDescent="0.2">
      <c r="A10" s="50">
        <f>RAWDATA!B10</f>
        <v>0</v>
      </c>
      <c r="B10" s="50">
        <f>RAWDATA!C10</f>
        <v>0</v>
      </c>
      <c r="C10" s="51">
        <f>RAWDATA!D10</f>
        <v>0</v>
      </c>
      <c r="D10" s="51">
        <f>RAWDATA!E10</f>
        <v>0</v>
      </c>
      <c r="E10" s="53">
        <f t="shared" si="2"/>
        <v>0</v>
      </c>
      <c r="F10" s="30" t="str">
        <f>LOOKUP(E10,{0;1;49.1;55.1;61.1;67.1;72.1;78.1;84.1;89.1;94.1;97.1},{"KP";"NB";4;3.7;3.3;3;2.7;2.3;2;1.7;1.3;1})</f>
        <v>KP</v>
      </c>
      <c r="G10" s="29"/>
      <c r="H10" s="52"/>
      <c r="I10" s="52"/>
      <c r="J10" s="52"/>
      <c r="K10" s="32">
        <f t="shared" si="0"/>
        <v>0</v>
      </c>
      <c r="L10" s="80">
        <f>IF(ISBLANK(Extrapunkte!J11),0,Extrapunkte!J11)</f>
        <v>0</v>
      </c>
      <c r="M10" s="32">
        <f>IF(ISBLANK(RAWDATA!F10),SUM(K10:L10),RAWDATA!F10)</f>
        <v>0</v>
      </c>
      <c r="N10" s="4"/>
      <c r="O10" s="4"/>
      <c r="P10" s="84">
        <f>RAWDATA!J10</f>
        <v>0</v>
      </c>
      <c r="Q10" s="83">
        <f>RAWDATA!G10</f>
        <v>0</v>
      </c>
      <c r="R10" s="32" t="str">
        <f t="shared" si="1"/>
        <v/>
      </c>
      <c r="S10" s="4"/>
      <c r="T10" s="2">
        <f t="shared" si="3"/>
        <v>0</v>
      </c>
      <c r="U10" s="2">
        <f t="shared" si="4"/>
        <v>0</v>
      </c>
      <c r="V10" s="10">
        <f t="shared" si="5"/>
        <v>0</v>
      </c>
      <c r="W10" s="1">
        <f t="shared" si="6"/>
        <v>0</v>
      </c>
      <c r="X10" s="1">
        <f t="shared" si="7"/>
        <v>0</v>
      </c>
    </row>
    <row r="11" spans="1:24" ht="13.9" customHeight="1" x14ac:dyDescent="0.2">
      <c r="A11" s="50">
        <f>RAWDATA!B11</f>
        <v>0</v>
      </c>
      <c r="B11" s="50">
        <f>RAWDATA!C11</f>
        <v>0</v>
      </c>
      <c r="C11" s="51">
        <f>RAWDATA!D11</f>
        <v>0</v>
      </c>
      <c r="D11" s="51">
        <f>RAWDATA!E11</f>
        <v>0</v>
      </c>
      <c r="E11" s="53">
        <f t="shared" si="2"/>
        <v>0</v>
      </c>
      <c r="F11" s="30" t="str">
        <f>LOOKUP(E11,{0;1;49.1;55.1;61.1;67.1;72.1;78.1;84.1;89.1;94.1;97.1},{"KP";"NB";4;3.7;3.3;3;2.7;2.3;2;1.7;1.3;1})</f>
        <v>KP</v>
      </c>
      <c r="G11" s="29"/>
      <c r="H11" s="52"/>
      <c r="I11" s="52"/>
      <c r="J11" s="52"/>
      <c r="K11" s="32">
        <f t="shared" si="0"/>
        <v>0</v>
      </c>
      <c r="L11" s="80">
        <f>IF(ISBLANK(Extrapunkte!J12),0,Extrapunkte!J12)</f>
        <v>0</v>
      </c>
      <c r="M11" s="32">
        <f>IF(ISBLANK(RAWDATA!F11),SUM(K11:L11),RAWDATA!F11)</f>
        <v>0</v>
      </c>
      <c r="N11" s="4"/>
      <c r="O11" s="4"/>
      <c r="P11" s="84">
        <f>RAWDATA!J11</f>
        <v>0</v>
      </c>
      <c r="Q11" s="83">
        <f>RAWDATA!G11</f>
        <v>0</v>
      </c>
      <c r="R11" s="32" t="str">
        <f t="shared" si="1"/>
        <v/>
      </c>
      <c r="S11" s="4"/>
      <c r="T11" s="2">
        <f t="shared" si="3"/>
        <v>0</v>
      </c>
      <c r="U11" s="2">
        <f t="shared" si="4"/>
        <v>0</v>
      </c>
      <c r="V11" s="10">
        <f t="shared" si="5"/>
        <v>0</v>
      </c>
      <c r="W11" s="1">
        <f t="shared" si="6"/>
        <v>0</v>
      </c>
      <c r="X11" s="1">
        <f t="shared" si="7"/>
        <v>0</v>
      </c>
    </row>
    <row r="12" spans="1:24" ht="13.9" customHeight="1" x14ac:dyDescent="0.2">
      <c r="A12" s="50">
        <f>RAWDATA!B12</f>
        <v>0</v>
      </c>
      <c r="B12" s="50">
        <f>RAWDATA!C12</f>
        <v>0</v>
      </c>
      <c r="C12" s="51">
        <f>RAWDATA!D12</f>
        <v>0</v>
      </c>
      <c r="D12" s="51">
        <f>RAWDATA!E12</f>
        <v>0</v>
      </c>
      <c r="E12" s="53">
        <f t="shared" si="2"/>
        <v>0</v>
      </c>
      <c r="F12" s="30" t="str">
        <f>LOOKUP(E12,{0;1;49.1;55.1;61.1;67.1;72.1;78.1;84.1;89.1;94.1;97.1},{"KP";"NB";4;3.7;3.3;3;2.7;2.3;2;1.7;1.3;1})</f>
        <v>KP</v>
      </c>
      <c r="G12" s="29"/>
      <c r="H12" s="52"/>
      <c r="I12" s="52"/>
      <c r="J12" s="52"/>
      <c r="K12" s="32">
        <f t="shared" si="0"/>
        <v>0</v>
      </c>
      <c r="L12" s="80">
        <f>IF(ISBLANK(Extrapunkte!J13),0,Extrapunkte!J13)</f>
        <v>0</v>
      </c>
      <c r="M12" s="32">
        <f>IF(ISBLANK(RAWDATA!F12),SUM(K12:L12),RAWDATA!F12)</f>
        <v>0</v>
      </c>
      <c r="N12" s="4"/>
      <c r="O12" s="4"/>
      <c r="P12" s="84">
        <f>RAWDATA!J12</f>
        <v>0</v>
      </c>
      <c r="Q12" s="83">
        <f>RAWDATA!G12</f>
        <v>0</v>
      </c>
      <c r="R12" s="32" t="str">
        <f t="shared" si="1"/>
        <v/>
      </c>
      <c r="S12" s="4"/>
      <c r="T12" s="2">
        <f t="shared" si="3"/>
        <v>0</v>
      </c>
      <c r="U12" s="2">
        <f t="shared" si="4"/>
        <v>0</v>
      </c>
      <c r="V12" s="10">
        <f t="shared" si="5"/>
        <v>0</v>
      </c>
      <c r="W12" s="1">
        <f t="shared" si="6"/>
        <v>0</v>
      </c>
      <c r="X12" s="1">
        <f t="shared" si="7"/>
        <v>0</v>
      </c>
    </row>
    <row r="13" spans="1:24" ht="13.9" customHeight="1" x14ac:dyDescent="0.2">
      <c r="A13" s="50">
        <f>RAWDATA!B13</f>
        <v>0</v>
      </c>
      <c r="B13" s="50">
        <f>RAWDATA!C13</f>
        <v>0</v>
      </c>
      <c r="C13" s="51">
        <f>RAWDATA!D13</f>
        <v>0</v>
      </c>
      <c r="D13" s="51">
        <f>RAWDATA!E13</f>
        <v>0</v>
      </c>
      <c r="E13" s="53">
        <f t="shared" si="2"/>
        <v>0</v>
      </c>
      <c r="F13" s="30" t="str">
        <f>LOOKUP(E13,{0;1;49.1;55.1;61.1;67.1;72.1;78.1;84.1;89.1;94.1;97.1},{"KP";"NB";4;3.7;3.3;3;2.7;2.3;2;1.7;1.3;1})</f>
        <v>KP</v>
      </c>
      <c r="G13" s="29"/>
      <c r="H13" s="52"/>
      <c r="I13" s="52"/>
      <c r="J13" s="52"/>
      <c r="K13" s="32">
        <f t="shared" si="0"/>
        <v>0</v>
      </c>
      <c r="L13" s="80">
        <f>IF(ISBLANK(Extrapunkte!J14),0,Extrapunkte!J14)</f>
        <v>0</v>
      </c>
      <c r="M13" s="32">
        <f>IF(ISBLANK(RAWDATA!F13),SUM(K13:L13),RAWDATA!F13)</f>
        <v>0</v>
      </c>
      <c r="N13" s="4"/>
      <c r="O13" s="4"/>
      <c r="P13" s="84">
        <f>RAWDATA!J13</f>
        <v>0</v>
      </c>
      <c r="Q13" s="83">
        <f>RAWDATA!G13</f>
        <v>0</v>
      </c>
      <c r="R13" s="32" t="str">
        <f t="shared" si="1"/>
        <v/>
      </c>
      <c r="S13" s="4"/>
      <c r="T13" s="2">
        <f t="shared" si="3"/>
        <v>0</v>
      </c>
      <c r="U13" s="2">
        <f t="shared" si="4"/>
        <v>0</v>
      </c>
      <c r="V13" s="10">
        <f t="shared" si="5"/>
        <v>0</v>
      </c>
      <c r="W13" s="1">
        <f t="shared" si="6"/>
        <v>0</v>
      </c>
      <c r="X13" s="1">
        <f t="shared" si="7"/>
        <v>0</v>
      </c>
    </row>
    <row r="14" spans="1:24" ht="13.9" customHeight="1" x14ac:dyDescent="0.2">
      <c r="A14" s="50">
        <f>RAWDATA!B14</f>
        <v>0</v>
      </c>
      <c r="B14" s="50">
        <f>RAWDATA!C14</f>
        <v>0</v>
      </c>
      <c r="C14" s="51">
        <f>RAWDATA!D14</f>
        <v>0</v>
      </c>
      <c r="D14" s="51">
        <f>RAWDATA!E14</f>
        <v>0</v>
      </c>
      <c r="E14" s="53">
        <f t="shared" si="2"/>
        <v>0</v>
      </c>
      <c r="F14" s="30" t="str">
        <f>LOOKUP(E14,{0;1;49.1;55.1;61.1;67.1;72.1;78.1;84.1;89.1;94.1;97.1},{"KP";"NB";4;3.7;3.3;3;2.7;2.3;2;1.7;1.3;1})</f>
        <v>KP</v>
      </c>
      <c r="G14" s="29"/>
      <c r="H14" s="52"/>
      <c r="I14" s="52"/>
      <c r="J14" s="52"/>
      <c r="K14" s="32">
        <f t="shared" si="0"/>
        <v>0</v>
      </c>
      <c r="L14" s="80">
        <f>IF(ISBLANK(Extrapunkte!J15),0,Extrapunkte!J15)</f>
        <v>0</v>
      </c>
      <c r="M14" s="32">
        <f>IF(ISBLANK(RAWDATA!F14),SUM(K14:L14),RAWDATA!F14)</f>
        <v>0</v>
      </c>
      <c r="N14" s="4"/>
      <c r="O14" s="4"/>
      <c r="P14" s="84">
        <f>RAWDATA!J14</f>
        <v>0</v>
      </c>
      <c r="Q14" s="83">
        <f>RAWDATA!G14</f>
        <v>0</v>
      </c>
      <c r="R14" s="32" t="str">
        <f t="shared" si="1"/>
        <v/>
      </c>
      <c r="S14" s="4"/>
      <c r="T14" s="2">
        <f t="shared" si="3"/>
        <v>0</v>
      </c>
      <c r="U14" s="2">
        <f t="shared" si="4"/>
        <v>0</v>
      </c>
      <c r="V14" s="10">
        <f t="shared" si="5"/>
        <v>0</v>
      </c>
      <c r="W14" s="1">
        <f t="shared" si="6"/>
        <v>0</v>
      </c>
      <c r="X14" s="1">
        <f t="shared" si="7"/>
        <v>0</v>
      </c>
    </row>
    <row r="15" spans="1:24" ht="13.9" customHeight="1" x14ac:dyDescent="0.2">
      <c r="A15" s="50">
        <f>RAWDATA!B15</f>
        <v>0</v>
      </c>
      <c r="B15" s="50">
        <f>RAWDATA!C15</f>
        <v>0</v>
      </c>
      <c r="C15" s="51">
        <f>RAWDATA!D15</f>
        <v>0</v>
      </c>
      <c r="D15" s="51">
        <f>RAWDATA!E15</f>
        <v>0</v>
      </c>
      <c r="E15" s="53">
        <f t="shared" si="2"/>
        <v>0</v>
      </c>
      <c r="F15" s="30" t="str">
        <f>LOOKUP(E15,{0;1;49.1;55.1;61.1;67.1;72.1;78.1;84.1;89.1;94.1;97.1},{"KP";"NB";4;3.7;3.3;3;2.7;2.3;2;1.7;1.3;1})</f>
        <v>KP</v>
      </c>
      <c r="G15" s="29"/>
      <c r="H15" s="52"/>
      <c r="I15" s="52"/>
      <c r="J15" s="52"/>
      <c r="K15" s="32">
        <f t="shared" si="0"/>
        <v>0</v>
      </c>
      <c r="L15" s="80">
        <f>IF(ISBLANK(Extrapunkte!J16),0,Extrapunkte!J16)</f>
        <v>0</v>
      </c>
      <c r="M15" s="32">
        <f>IF(ISBLANK(RAWDATA!F15),SUM(K15:L15),RAWDATA!F15)</f>
        <v>0</v>
      </c>
      <c r="N15" s="4"/>
      <c r="O15" s="4"/>
      <c r="P15" s="84">
        <f>RAWDATA!J15</f>
        <v>0</v>
      </c>
      <c r="Q15" s="83">
        <f>RAWDATA!G15</f>
        <v>0</v>
      </c>
      <c r="R15" s="32" t="str">
        <f t="shared" si="1"/>
        <v/>
      </c>
      <c r="S15" s="4"/>
      <c r="T15" s="2">
        <f t="shared" si="3"/>
        <v>0</v>
      </c>
      <c r="U15" s="2">
        <f t="shared" si="4"/>
        <v>0</v>
      </c>
      <c r="V15" s="10">
        <f t="shared" si="5"/>
        <v>0</v>
      </c>
      <c r="W15" s="1">
        <f t="shared" si="6"/>
        <v>0</v>
      </c>
      <c r="X15" s="1">
        <f t="shared" si="7"/>
        <v>0</v>
      </c>
    </row>
    <row r="16" spans="1:24" ht="13.9" customHeight="1" x14ac:dyDescent="0.2">
      <c r="A16" s="50">
        <f>RAWDATA!B16</f>
        <v>0</v>
      </c>
      <c r="B16" s="50">
        <f>RAWDATA!C16</f>
        <v>0</v>
      </c>
      <c r="C16" s="51">
        <f>RAWDATA!D16</f>
        <v>0</v>
      </c>
      <c r="D16" s="51">
        <f>RAWDATA!E16</f>
        <v>0</v>
      </c>
      <c r="E16" s="53">
        <f t="shared" si="2"/>
        <v>0</v>
      </c>
      <c r="F16" s="30" t="str">
        <f>LOOKUP(E16,{0;1;49.1;55.1;61.1;67.1;72.1;78.1;84.1;89.1;94.1;97.1},{"KP";"NB";4;3.7;3.3;3;2.7;2.3;2;1.7;1.3;1})</f>
        <v>KP</v>
      </c>
      <c r="G16" s="29"/>
      <c r="H16" s="52"/>
      <c r="I16" s="52"/>
      <c r="J16" s="52"/>
      <c r="K16" s="32">
        <f t="shared" si="0"/>
        <v>0</v>
      </c>
      <c r="L16" s="80">
        <f>IF(ISBLANK(Extrapunkte!J17),0,Extrapunkte!J17)</f>
        <v>0</v>
      </c>
      <c r="M16" s="32">
        <f>IF(ISBLANK(RAWDATA!F16),SUM(K16:L16),RAWDATA!F16)</f>
        <v>0</v>
      </c>
      <c r="N16" s="4"/>
      <c r="O16" s="4"/>
      <c r="P16" s="84">
        <f>RAWDATA!J16</f>
        <v>0</v>
      </c>
      <c r="Q16" s="83">
        <f>RAWDATA!G16</f>
        <v>0</v>
      </c>
      <c r="R16" s="32" t="str">
        <f t="shared" si="1"/>
        <v/>
      </c>
      <c r="S16" s="4"/>
      <c r="T16" s="2">
        <f t="shared" si="3"/>
        <v>0</v>
      </c>
      <c r="U16" s="2">
        <f t="shared" si="4"/>
        <v>0</v>
      </c>
      <c r="V16" s="10">
        <f t="shared" si="5"/>
        <v>0</v>
      </c>
      <c r="W16" s="1">
        <f t="shared" si="6"/>
        <v>0</v>
      </c>
      <c r="X16" s="1">
        <f t="shared" si="7"/>
        <v>0</v>
      </c>
    </row>
    <row r="17" spans="1:24" ht="13.9" customHeight="1" x14ac:dyDescent="0.2">
      <c r="A17" s="50">
        <f>RAWDATA!B17</f>
        <v>0</v>
      </c>
      <c r="B17" s="50">
        <f>RAWDATA!C17</f>
        <v>0</v>
      </c>
      <c r="C17" s="51">
        <f>RAWDATA!D17</f>
        <v>0</v>
      </c>
      <c r="D17" s="51">
        <f>RAWDATA!E17</f>
        <v>0</v>
      </c>
      <c r="E17" s="53">
        <f t="shared" si="2"/>
        <v>0</v>
      </c>
      <c r="F17" s="30" t="str">
        <f>LOOKUP(E17,{0;1;49.1;55.1;61.1;67.1;72.1;78.1;84.1;89.1;94.1;97.1},{"KP";"NB";4;3.7;3.3;3;2.7;2.3;2;1.7;1.3;1})</f>
        <v>KP</v>
      </c>
      <c r="G17" s="29"/>
      <c r="H17" s="52"/>
      <c r="I17" s="52"/>
      <c r="J17" s="52"/>
      <c r="K17" s="32">
        <f t="shared" si="0"/>
        <v>0</v>
      </c>
      <c r="L17" s="80">
        <f>IF(ISBLANK(Extrapunkte!J18),0,Extrapunkte!J18)</f>
        <v>0</v>
      </c>
      <c r="M17" s="32">
        <f>IF(ISBLANK(RAWDATA!F17),SUM(K17:L17),RAWDATA!F17)</f>
        <v>0</v>
      </c>
      <c r="N17" s="4"/>
      <c r="O17" s="4"/>
      <c r="P17" s="84">
        <f>RAWDATA!J17</f>
        <v>0</v>
      </c>
      <c r="Q17" s="83">
        <f>RAWDATA!G17</f>
        <v>0</v>
      </c>
      <c r="R17" s="32" t="str">
        <f t="shared" si="1"/>
        <v/>
      </c>
      <c r="S17" s="4"/>
      <c r="T17" s="2">
        <f t="shared" si="3"/>
        <v>0</v>
      </c>
      <c r="U17" s="2">
        <f t="shared" si="4"/>
        <v>0</v>
      </c>
      <c r="V17" s="10">
        <f t="shared" si="5"/>
        <v>0</v>
      </c>
      <c r="W17" s="1">
        <f t="shared" si="6"/>
        <v>0</v>
      </c>
      <c r="X17" s="1">
        <f t="shared" si="7"/>
        <v>0</v>
      </c>
    </row>
    <row r="18" spans="1:24" ht="13.9" customHeight="1" x14ac:dyDescent="0.2">
      <c r="A18" s="50">
        <f>RAWDATA!B18</f>
        <v>0</v>
      </c>
      <c r="B18" s="50">
        <f>RAWDATA!C18</f>
        <v>0</v>
      </c>
      <c r="C18" s="51">
        <f>RAWDATA!D18</f>
        <v>0</v>
      </c>
      <c r="D18" s="51">
        <f>RAWDATA!E18</f>
        <v>0</v>
      </c>
      <c r="E18" s="53">
        <f t="shared" si="2"/>
        <v>0</v>
      </c>
      <c r="F18" s="30" t="str">
        <f>LOOKUP(E18,{0;1;49.1;55.1;61.1;67.1;72.1;78.1;84.1;89.1;94.1;97.1},{"KP";"NB";4;3.7;3.3;3;2.7;2.3;2;1.7;1.3;1})</f>
        <v>KP</v>
      </c>
      <c r="G18" s="29"/>
      <c r="H18" s="52"/>
      <c r="I18" s="52"/>
      <c r="J18" s="52"/>
      <c r="K18" s="32">
        <f t="shared" si="0"/>
        <v>0</v>
      </c>
      <c r="L18" s="80">
        <f>IF(ISBLANK(Extrapunkte!J19),0,Extrapunkte!J19)</f>
        <v>0</v>
      </c>
      <c r="M18" s="32">
        <f>IF(ISBLANK(RAWDATA!F18),SUM(K18:L18),RAWDATA!F18)</f>
        <v>0</v>
      </c>
      <c r="N18" s="4"/>
      <c r="O18" s="4"/>
      <c r="P18" s="84">
        <f>RAWDATA!J18</f>
        <v>0</v>
      </c>
      <c r="Q18" s="83">
        <f>RAWDATA!G18</f>
        <v>0</v>
      </c>
      <c r="R18" s="32" t="str">
        <f t="shared" si="1"/>
        <v/>
      </c>
      <c r="S18" s="4"/>
      <c r="T18" s="2">
        <f t="shared" si="3"/>
        <v>0</v>
      </c>
      <c r="U18" s="2">
        <f t="shared" si="4"/>
        <v>0</v>
      </c>
      <c r="V18" s="10">
        <f t="shared" si="5"/>
        <v>0</v>
      </c>
      <c r="W18" s="1">
        <f t="shared" si="6"/>
        <v>0</v>
      </c>
      <c r="X18" s="1">
        <f t="shared" si="7"/>
        <v>0</v>
      </c>
    </row>
    <row r="19" spans="1:24" ht="13.9" customHeight="1" x14ac:dyDescent="0.2">
      <c r="A19" s="50">
        <f>RAWDATA!B19</f>
        <v>0</v>
      </c>
      <c r="B19" s="50">
        <f>RAWDATA!C19</f>
        <v>0</v>
      </c>
      <c r="C19" s="51">
        <f>RAWDATA!D19</f>
        <v>0</v>
      </c>
      <c r="D19" s="51">
        <f>RAWDATA!E19</f>
        <v>0</v>
      </c>
      <c r="E19" s="53">
        <f t="shared" si="2"/>
        <v>0</v>
      </c>
      <c r="F19" s="30" t="str">
        <f>LOOKUP(E19,{0;1;49.1;55.1;61.1;67.1;72.1;78.1;84.1;89.1;94.1;97.1},{"KP";"NB";4;3.7;3.3;3;2.7;2.3;2;1.7;1.3;1})</f>
        <v>KP</v>
      </c>
      <c r="G19" s="29"/>
      <c r="H19" s="52"/>
      <c r="I19" s="52"/>
      <c r="J19" s="52"/>
      <c r="K19" s="32">
        <f t="shared" si="0"/>
        <v>0</v>
      </c>
      <c r="L19" s="80">
        <f>IF(ISBLANK(Extrapunkte!J20),0,Extrapunkte!J20)</f>
        <v>0</v>
      </c>
      <c r="M19" s="32">
        <f>IF(ISBLANK(RAWDATA!F19),SUM(K19:L19),RAWDATA!F19)</f>
        <v>0</v>
      </c>
      <c r="N19" s="4"/>
      <c r="O19" s="4"/>
      <c r="P19" s="84">
        <f>RAWDATA!J19</f>
        <v>0</v>
      </c>
      <c r="Q19" s="83">
        <f>RAWDATA!G19</f>
        <v>0</v>
      </c>
      <c r="R19" s="32" t="str">
        <f t="shared" si="1"/>
        <v/>
      </c>
      <c r="S19" s="4"/>
      <c r="T19" s="2">
        <f t="shared" si="3"/>
        <v>0</v>
      </c>
      <c r="U19" s="2">
        <f t="shared" si="4"/>
        <v>0</v>
      </c>
      <c r="V19" s="10">
        <f t="shared" si="5"/>
        <v>0</v>
      </c>
      <c r="W19" s="1">
        <f t="shared" si="6"/>
        <v>0</v>
      </c>
      <c r="X19" s="1">
        <f t="shared" si="7"/>
        <v>0</v>
      </c>
    </row>
    <row r="20" spans="1:24" ht="13.9" customHeight="1" x14ac:dyDescent="0.2">
      <c r="A20" s="50">
        <f>RAWDATA!B20</f>
        <v>0</v>
      </c>
      <c r="B20" s="50">
        <f>RAWDATA!C20</f>
        <v>0</v>
      </c>
      <c r="C20" s="51">
        <f>RAWDATA!D20</f>
        <v>0</v>
      </c>
      <c r="D20" s="51">
        <f>RAWDATA!E20</f>
        <v>0</v>
      </c>
      <c r="E20" s="53">
        <f t="shared" si="2"/>
        <v>0</v>
      </c>
      <c r="F20" s="30" t="str">
        <f>LOOKUP(E20,{0;1;49.1;55.1;61.1;67.1;72.1;78.1;84.1;89.1;94.1;97.1},{"KP";"NB";4;3.7;3.3;3;2.7;2.3;2;1.7;1.3;1})</f>
        <v>KP</v>
      </c>
      <c r="G20" s="29"/>
      <c r="H20" s="52"/>
      <c r="I20" s="52"/>
      <c r="J20" s="52"/>
      <c r="K20" s="32">
        <f>SUM(H20:J20)</f>
        <v>0</v>
      </c>
      <c r="L20" s="80">
        <f>IF(ISBLANK(Extrapunkte!J21),0,Extrapunkte!J21)</f>
        <v>0</v>
      </c>
      <c r="M20" s="32">
        <f>IF(ISBLANK(RAWDATA!F20),SUM(K20:L20),RAWDATA!F20)</f>
        <v>0</v>
      </c>
      <c r="N20" s="4"/>
      <c r="O20" s="4"/>
      <c r="P20" s="84">
        <f>RAWDATA!J20</f>
        <v>0</v>
      </c>
      <c r="Q20" s="83">
        <f>RAWDATA!G20</f>
        <v>0</v>
      </c>
      <c r="R20" s="32" t="str">
        <f t="shared" si="1"/>
        <v/>
      </c>
      <c r="S20" s="4"/>
      <c r="T20" s="2">
        <f t="shared" si="3"/>
        <v>0</v>
      </c>
      <c r="U20" s="2">
        <f t="shared" si="4"/>
        <v>0</v>
      </c>
      <c r="V20" s="10">
        <f t="shared" si="5"/>
        <v>0</v>
      </c>
      <c r="W20" s="1">
        <f t="shared" si="6"/>
        <v>0</v>
      </c>
      <c r="X20" s="1">
        <f t="shared" si="7"/>
        <v>0</v>
      </c>
    </row>
    <row r="21" spans="1:24" ht="13.9" customHeight="1" x14ac:dyDescent="0.2">
      <c r="A21" s="50">
        <f>RAWDATA!B21</f>
        <v>0</v>
      </c>
      <c r="B21" s="50">
        <f>RAWDATA!C21</f>
        <v>0</v>
      </c>
      <c r="C21" s="51">
        <f>RAWDATA!D21</f>
        <v>0</v>
      </c>
      <c r="D21" s="51">
        <f>RAWDATA!E21</f>
        <v>0</v>
      </c>
      <c r="E21" s="53">
        <f t="shared" si="2"/>
        <v>0</v>
      </c>
      <c r="F21" s="30" t="str">
        <f>LOOKUP(E21,{0;1;49.1;55.1;61.1;67.1;72.1;78.1;84.1;89.1;94.1;97.1},{"KP";"NB";4;3.7;3.3;3;2.7;2.3;2;1.7;1.3;1})</f>
        <v>KP</v>
      </c>
      <c r="G21" s="29"/>
      <c r="H21" s="52"/>
      <c r="I21" s="52"/>
      <c r="J21" s="52"/>
      <c r="K21" s="32">
        <f t="shared" si="0"/>
        <v>0</v>
      </c>
      <c r="L21" s="80">
        <f>IF(ISBLANK(Extrapunkte!J22),0,Extrapunkte!J22)</f>
        <v>0</v>
      </c>
      <c r="M21" s="32">
        <f>IF(ISBLANK(RAWDATA!F21),SUM(K21:L21),RAWDATA!F21)</f>
        <v>0</v>
      </c>
      <c r="N21" s="4"/>
      <c r="O21" s="4"/>
      <c r="P21" s="84">
        <f>RAWDATA!J21</f>
        <v>0</v>
      </c>
      <c r="Q21" s="83">
        <f>RAWDATA!G21</f>
        <v>0</v>
      </c>
      <c r="R21" s="32" t="str">
        <f t="shared" si="1"/>
        <v/>
      </c>
      <c r="S21" s="4"/>
      <c r="T21" s="2">
        <f t="shared" si="3"/>
        <v>0</v>
      </c>
      <c r="U21" s="2">
        <f t="shared" si="4"/>
        <v>0</v>
      </c>
      <c r="V21" s="10">
        <f t="shared" si="5"/>
        <v>0</v>
      </c>
      <c r="W21" s="1">
        <f t="shared" si="6"/>
        <v>0</v>
      </c>
      <c r="X21" s="1">
        <f t="shared" si="7"/>
        <v>0</v>
      </c>
    </row>
    <row r="22" spans="1:24" ht="13.9" customHeight="1" x14ac:dyDescent="0.2">
      <c r="A22" s="50">
        <f>RAWDATA!B22</f>
        <v>0</v>
      </c>
      <c r="B22" s="50">
        <f>RAWDATA!C22</f>
        <v>0</v>
      </c>
      <c r="C22" s="51">
        <f>RAWDATA!D22</f>
        <v>0</v>
      </c>
      <c r="D22" s="51">
        <f>RAWDATA!E22</f>
        <v>0</v>
      </c>
      <c r="E22" s="53">
        <f t="shared" si="2"/>
        <v>0</v>
      </c>
      <c r="F22" s="30" t="str">
        <f>LOOKUP(E22,{0;1;49.1;55.1;61.1;67.1;72.1;78.1;84.1;89.1;94.1;97.1},{"KP";"NB";4;3.7;3.3;3;2.7;2.3;2;1.7;1.3;1})</f>
        <v>KP</v>
      </c>
      <c r="G22" s="29"/>
      <c r="H22" s="52"/>
      <c r="I22" s="52"/>
      <c r="J22" s="52"/>
      <c r="K22" s="32">
        <f t="shared" si="0"/>
        <v>0</v>
      </c>
      <c r="L22" s="80">
        <f>IF(ISBLANK(Extrapunkte!J23),0,Extrapunkte!J23)</f>
        <v>0</v>
      </c>
      <c r="M22" s="32">
        <f>IF(ISBLANK(RAWDATA!F22),SUM(K22:L22),RAWDATA!F22)</f>
        <v>0</v>
      </c>
      <c r="N22" s="4"/>
      <c r="O22" s="4"/>
      <c r="P22" s="84">
        <f>RAWDATA!J22</f>
        <v>0</v>
      </c>
      <c r="Q22" s="83">
        <f>RAWDATA!G22</f>
        <v>0</v>
      </c>
      <c r="R22" s="32" t="str">
        <f t="shared" si="1"/>
        <v/>
      </c>
      <c r="S22" s="4"/>
      <c r="T22" s="2">
        <f t="shared" si="3"/>
        <v>0</v>
      </c>
      <c r="U22" s="2">
        <f t="shared" si="4"/>
        <v>0</v>
      </c>
      <c r="V22" s="10">
        <f t="shared" si="5"/>
        <v>0</v>
      </c>
      <c r="W22" s="1">
        <f t="shared" si="6"/>
        <v>0</v>
      </c>
      <c r="X22" s="1">
        <f t="shared" si="7"/>
        <v>0</v>
      </c>
    </row>
    <row r="23" spans="1:24" ht="13.9" customHeight="1" x14ac:dyDescent="0.2">
      <c r="A23" s="50">
        <f>RAWDATA!B23</f>
        <v>0</v>
      </c>
      <c r="B23" s="50">
        <f>RAWDATA!C23</f>
        <v>0</v>
      </c>
      <c r="C23" s="51">
        <f>RAWDATA!D23</f>
        <v>0</v>
      </c>
      <c r="D23" s="51">
        <f>RAWDATA!E23</f>
        <v>0</v>
      </c>
      <c r="E23" s="53">
        <f t="shared" si="2"/>
        <v>0</v>
      </c>
      <c r="F23" s="30" t="str">
        <f>LOOKUP(E23,{0;1;49.1;55.1;61.1;67.1;72.1;78.1;84.1;89.1;94.1;97.1},{"KP";"NB";4;3.7;3.3;3;2.7;2.3;2;1.7;1.3;1})</f>
        <v>KP</v>
      </c>
      <c r="G23" s="29"/>
      <c r="H23" s="52"/>
      <c r="I23" s="52"/>
      <c r="J23" s="52"/>
      <c r="K23" s="32">
        <f t="shared" si="0"/>
        <v>0</v>
      </c>
      <c r="L23" s="80">
        <f>IF(ISBLANK(Extrapunkte!J24),0,Extrapunkte!J24)</f>
        <v>0</v>
      </c>
      <c r="M23" s="32">
        <f>IF(ISBLANK(RAWDATA!F23),SUM(K23:L23),RAWDATA!F23)</f>
        <v>0</v>
      </c>
      <c r="N23" s="4"/>
      <c r="O23" s="4"/>
      <c r="P23" s="84">
        <f>RAWDATA!J23</f>
        <v>0</v>
      </c>
      <c r="Q23" s="83">
        <f>RAWDATA!G23</f>
        <v>0</v>
      </c>
      <c r="R23" s="32" t="str">
        <f t="shared" si="1"/>
        <v/>
      </c>
      <c r="S23" s="4"/>
      <c r="T23" s="2">
        <f t="shared" si="3"/>
        <v>0</v>
      </c>
      <c r="U23" s="2">
        <f t="shared" si="4"/>
        <v>0</v>
      </c>
      <c r="V23" s="10">
        <f t="shared" si="5"/>
        <v>0</v>
      </c>
      <c r="W23" s="1">
        <f t="shared" si="6"/>
        <v>0</v>
      </c>
      <c r="X23" s="1">
        <f t="shared" si="7"/>
        <v>0</v>
      </c>
    </row>
    <row r="24" spans="1:24" ht="13.9" customHeight="1" x14ac:dyDescent="0.2">
      <c r="A24" s="50">
        <f>RAWDATA!B24</f>
        <v>0</v>
      </c>
      <c r="B24" s="50">
        <f>RAWDATA!C24</f>
        <v>0</v>
      </c>
      <c r="C24" s="51">
        <f>RAWDATA!D24</f>
        <v>0</v>
      </c>
      <c r="D24" s="51">
        <f>RAWDATA!E24</f>
        <v>0</v>
      </c>
      <c r="E24" s="53">
        <f t="shared" si="2"/>
        <v>0</v>
      </c>
      <c r="F24" s="30" t="str">
        <f>LOOKUP(E24,{0;1;49.1;55.1;61.1;67.1;72.1;78.1;84.1;89.1;94.1;97.1},{"KP";"NB";4;3.7;3.3;3;2.7;2.3;2;1.7;1.3;1})</f>
        <v>KP</v>
      </c>
      <c r="G24" s="29"/>
      <c r="H24" s="52"/>
      <c r="I24" s="52"/>
      <c r="J24" s="52"/>
      <c r="K24" s="32">
        <f t="shared" si="0"/>
        <v>0</v>
      </c>
      <c r="L24" s="80">
        <f>IF(ISBLANK(Extrapunkte!J25),0,Extrapunkte!J25)</f>
        <v>0</v>
      </c>
      <c r="M24" s="32">
        <f>IF(ISBLANK(RAWDATA!F24),SUM(K24:L24),RAWDATA!F24)</f>
        <v>0</v>
      </c>
      <c r="N24" s="4"/>
      <c r="O24" s="4"/>
      <c r="P24" s="84">
        <f>RAWDATA!J24</f>
        <v>0</v>
      </c>
      <c r="Q24" s="83">
        <f>RAWDATA!G24</f>
        <v>0</v>
      </c>
      <c r="R24" s="32" t="str">
        <f t="shared" si="1"/>
        <v/>
      </c>
      <c r="S24" s="4"/>
      <c r="T24" s="2">
        <f t="shared" si="3"/>
        <v>0</v>
      </c>
      <c r="U24" s="2">
        <f t="shared" si="4"/>
        <v>0</v>
      </c>
      <c r="V24" s="10">
        <f t="shared" si="5"/>
        <v>0</v>
      </c>
      <c r="W24" s="1">
        <f t="shared" si="6"/>
        <v>0</v>
      </c>
      <c r="X24" s="1">
        <f t="shared" si="7"/>
        <v>0</v>
      </c>
    </row>
    <row r="25" spans="1:24" ht="13.9" customHeight="1" x14ac:dyDescent="0.2">
      <c r="A25" s="50">
        <f>RAWDATA!B25</f>
        <v>0</v>
      </c>
      <c r="B25" s="50">
        <f>RAWDATA!C25</f>
        <v>0</v>
      </c>
      <c r="C25" s="51">
        <f>RAWDATA!D25</f>
        <v>0</v>
      </c>
      <c r="D25" s="51">
        <f>RAWDATA!E25</f>
        <v>0</v>
      </c>
      <c r="E25" s="53">
        <f t="shared" si="2"/>
        <v>0</v>
      </c>
      <c r="F25" s="30" t="str">
        <f>LOOKUP(E25,{0;1;49.1;55.1;61.1;67.1;72.1;78.1;84.1;89.1;94.1;97.1},{"KP";"NB";4;3.7;3.3;3;2.7;2.3;2;1.7;1.3;1})</f>
        <v>KP</v>
      </c>
      <c r="G25" s="29"/>
      <c r="H25" s="52"/>
      <c r="I25" s="52"/>
      <c r="J25" s="52"/>
      <c r="K25" s="32">
        <f t="shared" si="0"/>
        <v>0</v>
      </c>
      <c r="L25" s="80">
        <f>IF(ISBLANK(Extrapunkte!J26),0,Extrapunkte!J26)</f>
        <v>0</v>
      </c>
      <c r="M25" s="32">
        <f>IF(ISBLANK(RAWDATA!F25),SUM(K25:L25),RAWDATA!F25)</f>
        <v>0</v>
      </c>
      <c r="N25" s="4"/>
      <c r="O25" s="4"/>
      <c r="P25" s="84">
        <f>RAWDATA!J25</f>
        <v>0</v>
      </c>
      <c r="Q25" s="83">
        <f>RAWDATA!G25</f>
        <v>0</v>
      </c>
      <c r="R25" s="32" t="str">
        <f t="shared" si="1"/>
        <v/>
      </c>
      <c r="S25" s="4"/>
      <c r="T25" s="2">
        <f t="shared" si="3"/>
        <v>0</v>
      </c>
      <c r="U25" s="2">
        <f t="shared" si="4"/>
        <v>0</v>
      </c>
      <c r="V25" s="10">
        <f t="shared" si="5"/>
        <v>0</v>
      </c>
      <c r="W25" s="1">
        <f t="shared" si="6"/>
        <v>0</v>
      </c>
      <c r="X25" s="1">
        <f t="shared" si="7"/>
        <v>0</v>
      </c>
    </row>
    <row r="26" spans="1:24" ht="13.9" customHeight="1" x14ac:dyDescent="0.2">
      <c r="A26" s="50">
        <f>RAWDATA!B26</f>
        <v>0</v>
      </c>
      <c r="B26" s="50">
        <f>RAWDATA!C26</f>
        <v>0</v>
      </c>
      <c r="C26" s="51">
        <f>RAWDATA!D26</f>
        <v>0</v>
      </c>
      <c r="D26" s="51">
        <f>RAWDATA!E26</f>
        <v>0</v>
      </c>
      <c r="E26" s="53">
        <f t="shared" si="2"/>
        <v>0</v>
      </c>
      <c r="F26" s="30" t="str">
        <f>LOOKUP(E26,{0;1;49.1;55.1;61.1;67.1;72.1;78.1;84.1;89.1;94.1;97.1},{"KP";"NB";4;3.7;3.3;3;2.7;2.3;2;1.7;1.3;1})</f>
        <v>KP</v>
      </c>
      <c r="G26" s="29"/>
      <c r="H26" s="52"/>
      <c r="I26" s="52"/>
      <c r="J26" s="52"/>
      <c r="K26" s="32">
        <f>SUM(H26:J26)</f>
        <v>0</v>
      </c>
      <c r="L26" s="80">
        <f>IF(ISBLANK(Extrapunkte!J27),0,Extrapunkte!J27)</f>
        <v>0</v>
      </c>
      <c r="M26" s="32">
        <f>IF(ISBLANK(RAWDATA!F26),SUM(K26:L26),RAWDATA!F26)</f>
        <v>0</v>
      </c>
      <c r="N26" s="4"/>
      <c r="O26" s="4"/>
      <c r="P26" s="84">
        <f>RAWDATA!J26</f>
        <v>0</v>
      </c>
      <c r="Q26" s="83">
        <f>RAWDATA!G26</f>
        <v>0</v>
      </c>
      <c r="R26" s="32" t="str">
        <f t="shared" si="1"/>
        <v/>
      </c>
      <c r="S26" s="4"/>
      <c r="T26" s="2">
        <f t="shared" si="3"/>
        <v>0</v>
      </c>
      <c r="U26" s="2">
        <f t="shared" si="4"/>
        <v>0</v>
      </c>
      <c r="V26" s="10">
        <f t="shared" si="5"/>
        <v>0</v>
      </c>
      <c r="W26" s="1">
        <f t="shared" si="6"/>
        <v>0</v>
      </c>
      <c r="X26" s="1">
        <f t="shared" si="7"/>
        <v>0</v>
      </c>
    </row>
    <row r="27" spans="1:24" ht="13.9" customHeight="1" x14ac:dyDescent="0.2">
      <c r="A27" s="4"/>
      <c r="B27" s="4" t="s">
        <v>9</v>
      </c>
      <c r="C27" s="6"/>
      <c r="D27" s="6"/>
      <c r="E27" s="9"/>
      <c r="F27" s="4"/>
      <c r="G27" s="4"/>
      <c r="H27" s="5"/>
      <c r="I27" s="5"/>
      <c r="J27" s="5"/>
      <c r="K27" s="5">
        <v>80</v>
      </c>
      <c r="L27" s="5"/>
      <c r="M27" s="5">
        <f>100</f>
        <v>100</v>
      </c>
      <c r="N27" s="4"/>
      <c r="O27" s="4"/>
      <c r="P27" s="4"/>
      <c r="Q27" s="5"/>
      <c r="R27" s="5"/>
      <c r="S27" s="4"/>
    </row>
    <row r="28" spans="1:24" ht="13.9" customHeight="1" x14ac:dyDescent="0.2">
      <c r="B28" s="1" t="s">
        <v>51</v>
      </c>
      <c r="F28" s="10" t="e">
        <f t="array" ref="F28">AVERAGE(IF(ISNUMBER(F2:F26),F2:F26))</f>
        <v>#DIV/0!</v>
      </c>
      <c r="G28" s="4"/>
      <c r="H28" s="10" t="e">
        <f t="shared" ref="H28:K28" si="8">AVERAGEIF(H2:H26,"&gt;0")</f>
        <v>#DIV/0!</v>
      </c>
      <c r="I28" s="10" t="e">
        <f t="shared" si="8"/>
        <v>#DIV/0!</v>
      </c>
      <c r="J28" s="10" t="e">
        <f t="shared" ref="J28" si="9">AVERAGEIF(J2:J26,"&gt;0")</f>
        <v>#DIV/0!</v>
      </c>
      <c r="K28" s="10" t="e">
        <f t="shared" si="8"/>
        <v>#DIV/0!</v>
      </c>
      <c r="L28" s="10" t="e">
        <f t="shared" ref="L28" si="10">AVERAGEIF(L2:L26,"&gt;0")</f>
        <v>#DIV/0!</v>
      </c>
      <c r="M28" s="10" t="e">
        <f>AVERAGEIF(M2:M26,"&gt;0")</f>
        <v>#DIV/0!</v>
      </c>
      <c r="N28" s="4"/>
      <c r="O28" s="4"/>
      <c r="P28" s="4"/>
      <c r="Q28" s="5"/>
      <c r="R28" s="5"/>
      <c r="S28" s="4"/>
    </row>
    <row r="29" spans="1:24" ht="13.9" customHeight="1" x14ac:dyDescent="0.2">
      <c r="A29" s="4"/>
      <c r="B29" s="4" t="s">
        <v>10</v>
      </c>
      <c r="C29" s="6"/>
      <c r="D29" s="6"/>
      <c r="E29" s="9"/>
      <c r="F29" s="5" t="e">
        <f>ROUNDUP(STDEVP(F2:F18),1)</f>
        <v>#VALUE!</v>
      </c>
      <c r="G29" s="4"/>
      <c r="H29" s="5" t="e">
        <f>ROUNDUP(STDEVP(H2:H26),1)</f>
        <v>#DIV/0!</v>
      </c>
      <c r="I29" s="5" t="e">
        <f t="shared" ref="I29" si="11">ROUNDUP(STDEVP(I2:I26),1)</f>
        <v>#DIV/0!</v>
      </c>
      <c r="J29" s="5" t="e">
        <f t="shared" ref="J29" si="12">ROUNDUP(STDEVP(J2:J26),1)</f>
        <v>#DIV/0!</v>
      </c>
      <c r="K29" s="5"/>
      <c r="L29" s="5"/>
      <c r="M29" s="5"/>
      <c r="N29" s="4"/>
      <c r="O29" s="4"/>
      <c r="P29" s="4"/>
      <c r="Q29" s="5"/>
      <c r="R29" s="5"/>
      <c r="S29" s="4"/>
    </row>
    <row r="30" spans="1:24" ht="13.9" customHeight="1" x14ac:dyDescent="0.2">
      <c r="A30" s="22"/>
      <c r="B30" s="22"/>
      <c r="C30" s="23"/>
      <c r="D30" s="23"/>
      <c r="E30" s="24"/>
      <c r="F30" s="22"/>
      <c r="G30" s="22"/>
      <c r="H30" s="25"/>
      <c r="I30" s="25"/>
      <c r="J30" s="25"/>
      <c r="K30" s="25"/>
      <c r="L30" s="25"/>
      <c r="M30" s="25"/>
      <c r="N30" s="22"/>
      <c r="O30" s="22"/>
      <c r="P30" s="22"/>
      <c r="Q30" s="25"/>
      <c r="R30" s="25"/>
      <c r="S30" s="22"/>
    </row>
    <row r="31" spans="1:24" ht="13.9" customHeight="1" x14ac:dyDescent="0.2">
      <c r="A31" s="4" t="s">
        <v>13</v>
      </c>
      <c r="B31" s="33" t="s">
        <v>136</v>
      </c>
      <c r="C31" s="23"/>
      <c r="E31" s="85" t="s">
        <v>30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31"/>
    </row>
    <row r="32" spans="1:24" ht="13.9" customHeight="1" x14ac:dyDescent="0.2">
      <c r="A32" s="4" t="s">
        <v>14</v>
      </c>
      <c r="B32" s="34" t="s">
        <v>116</v>
      </c>
      <c r="C32" s="23"/>
      <c r="D32" s="74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31"/>
    </row>
    <row r="33" spans="1:19" ht="13.9" customHeight="1" x14ac:dyDescent="0.2">
      <c r="A33" s="4" t="s">
        <v>15</v>
      </c>
      <c r="B33" s="34" t="s">
        <v>117</v>
      </c>
      <c r="C33" s="23"/>
      <c r="D33" s="74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31"/>
    </row>
    <row r="34" spans="1:19" ht="13.9" customHeight="1" x14ac:dyDescent="0.2">
      <c r="A34" s="4" t="s">
        <v>16</v>
      </c>
      <c r="B34" s="33" t="s">
        <v>118</v>
      </c>
      <c r="C34" s="75" t="s">
        <v>122</v>
      </c>
      <c r="D34" s="74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31"/>
    </row>
    <row r="35" spans="1:19" ht="13.9" customHeight="1" x14ac:dyDescent="0.2">
      <c r="A35" s="4" t="s">
        <v>40</v>
      </c>
      <c r="B35" s="33" t="s">
        <v>119</v>
      </c>
      <c r="C35" s="23"/>
      <c r="D35" s="74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31"/>
    </row>
    <row r="36" spans="1:19" ht="13.9" customHeight="1" x14ac:dyDescent="0.2">
      <c r="A36" s="4" t="s">
        <v>28</v>
      </c>
      <c r="B36" s="33" t="s">
        <v>120</v>
      </c>
      <c r="C36" s="23"/>
      <c r="D36" s="74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31"/>
    </row>
    <row r="37" spans="1:19" ht="13.9" customHeight="1" x14ac:dyDescent="0.2">
      <c r="A37" s="4" t="s">
        <v>50</v>
      </c>
      <c r="B37" s="63" t="s">
        <v>121</v>
      </c>
      <c r="C37" s="23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22"/>
      <c r="O37" s="22"/>
      <c r="P37" s="22"/>
      <c r="Q37" s="25"/>
      <c r="R37" s="25"/>
      <c r="S37" s="31"/>
    </row>
    <row r="38" spans="1:19" ht="13.9" hidden="1" customHeight="1" x14ac:dyDescent="0.2">
      <c r="Q38" s="25"/>
      <c r="R38" s="25"/>
      <c r="S38" s="22"/>
    </row>
  </sheetData>
  <sheetProtection sheet="1" formatColumns="0" selectLockedCells="1"/>
  <dataConsolidate/>
  <mergeCells count="1">
    <mergeCell ref="E31:R36"/>
  </mergeCells>
  <phoneticPr fontId="7" type="noConversion"/>
  <conditionalFormatting sqref="H26">
    <cfRule type="cellIs" dxfId="1" priority="9" stopIfTrue="1" operator="greaterThan">
      <formula>$H$27</formula>
    </cfRule>
  </conditionalFormatting>
  <conditionalFormatting sqref="I26:J26">
    <cfRule type="cellIs" dxfId="0" priority="3" stopIfTrue="1" operator="greaterThan">
      <formula>$I$27</formula>
    </cfRule>
  </conditionalFormatting>
  <pageMargins left="0.78740157480314965" right="0.78740157480314965" top="1.2598425196850394" bottom="1.0629921259842521" header="0.59055118110236227" footer="0.78740157480314965"/>
  <pageSetup paperSize="9" scale="82" firstPageNumber="0" orientation="landscape" horizontalDpi="300" verticalDpi="300" r:id="rId1"/>
  <headerFooter scaleWithDoc="0" alignWithMargins="0">
    <oddHeader>&amp;L&amp;G&amp;C&amp;"Arial,Fett"&amp;14&amp;A&amp;R&amp;"Arial Black,Standard"&amp;28SpZ</oddHeader>
    <oddFooter>&amp;C&amp;"Arial,Standard"&amp;12Seite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G5" sqref="G5"/>
    </sheetView>
  </sheetViews>
  <sheetFormatPr baseColWidth="10" defaultColWidth="11.5703125" defaultRowHeight="15" x14ac:dyDescent="0.25"/>
  <cols>
    <col min="1" max="1" width="15.7109375" customWidth="1"/>
    <col min="2" max="2" width="12.7109375" customWidth="1"/>
    <col min="3" max="3" width="10.5703125" customWidth="1"/>
    <col min="4" max="4" width="14" customWidth="1"/>
    <col min="5" max="9" width="10.7109375" customWidth="1"/>
    <col min="10" max="10" width="10.5703125" bestFit="1" customWidth="1"/>
    <col min="11" max="11" width="5.7109375" customWidth="1"/>
  </cols>
  <sheetData>
    <row r="1" spans="1:11" x14ac:dyDescent="0.25">
      <c r="A1" s="79" t="str">
        <f>Notenliste!B34</f>
        <v>course.name</v>
      </c>
      <c r="E1" s="86" t="s">
        <v>127</v>
      </c>
      <c r="F1" s="87"/>
      <c r="G1" s="87"/>
      <c r="H1" s="87"/>
      <c r="I1" s="87"/>
    </row>
    <row r="2" spans="1:11" ht="38.25" x14ac:dyDescent="0.25">
      <c r="A2" s="26" t="s">
        <v>0</v>
      </c>
      <c r="B2" s="26" t="s">
        <v>1</v>
      </c>
      <c r="C2" s="27" t="s">
        <v>2</v>
      </c>
      <c r="D2" s="27" t="s">
        <v>25</v>
      </c>
      <c r="E2" s="27" t="s">
        <v>128</v>
      </c>
      <c r="F2" s="27" t="s">
        <v>129</v>
      </c>
      <c r="G2" s="27" t="s">
        <v>130</v>
      </c>
      <c r="H2" s="27" t="s">
        <v>131</v>
      </c>
      <c r="I2" s="27" t="s">
        <v>133</v>
      </c>
      <c r="J2" s="27" t="s">
        <v>132</v>
      </c>
      <c r="K2" s="4"/>
    </row>
    <row r="3" spans="1:11" x14ac:dyDescent="0.25">
      <c r="A3" s="77" t="str">
        <f>RAWDATA!B2</f>
        <v>applicant.last_name</v>
      </c>
      <c r="B3" s="77" t="str">
        <f>RAWDATA!C2</f>
        <v>applicant.first_name</v>
      </c>
      <c r="C3" s="30" t="str">
        <f>RAWDATA!D2</f>
        <v>applicant.origin.short_name</v>
      </c>
      <c r="D3" s="30" t="str">
        <f>RAWDATA!E2</f>
        <v>applicant.tag</v>
      </c>
      <c r="E3" s="78"/>
      <c r="F3" s="78"/>
      <c r="G3" s="78"/>
      <c r="H3" s="78"/>
      <c r="I3" s="78"/>
      <c r="J3" s="30">
        <f>SUM(E3:I3)</f>
        <v>0</v>
      </c>
      <c r="K3" s="4"/>
    </row>
    <row r="4" spans="1:11" x14ac:dyDescent="0.25">
      <c r="A4" s="77">
        <f>RAWDATA!B3</f>
        <v>0</v>
      </c>
      <c r="B4" s="77">
        <f>RAWDATA!C3</f>
        <v>0</v>
      </c>
      <c r="C4" s="30">
        <f>RAWDATA!D3</f>
        <v>0</v>
      </c>
      <c r="D4" s="30">
        <f>RAWDATA!E3</f>
        <v>0</v>
      </c>
      <c r="E4" s="78"/>
      <c r="F4" s="78"/>
      <c r="G4" s="78"/>
      <c r="H4" s="78"/>
      <c r="I4" s="78"/>
      <c r="J4" s="30">
        <f t="shared" ref="J4:J27" si="0">SUM(E4:I4)</f>
        <v>0</v>
      </c>
      <c r="K4" s="4"/>
    </row>
    <row r="5" spans="1:11" x14ac:dyDescent="0.25">
      <c r="A5" s="77">
        <f>RAWDATA!B4</f>
        <v>0</v>
      </c>
      <c r="B5" s="77">
        <f>RAWDATA!C4</f>
        <v>0</v>
      </c>
      <c r="C5" s="30">
        <f>RAWDATA!D4</f>
        <v>0</v>
      </c>
      <c r="D5" s="30">
        <f>RAWDATA!E4</f>
        <v>0</v>
      </c>
      <c r="E5" s="78"/>
      <c r="F5" s="78"/>
      <c r="G5" s="78"/>
      <c r="H5" s="78"/>
      <c r="I5" s="78"/>
      <c r="J5" s="30">
        <f t="shared" si="0"/>
        <v>0</v>
      </c>
      <c r="K5" s="4"/>
    </row>
    <row r="6" spans="1:11" x14ac:dyDescent="0.25">
      <c r="A6" s="77">
        <f>RAWDATA!B5</f>
        <v>0</v>
      </c>
      <c r="B6" s="77">
        <f>RAWDATA!C5</f>
        <v>0</v>
      </c>
      <c r="C6" s="30">
        <f>RAWDATA!D5</f>
        <v>0</v>
      </c>
      <c r="D6" s="30">
        <f>RAWDATA!E5</f>
        <v>0</v>
      </c>
      <c r="E6" s="78"/>
      <c r="F6" s="78"/>
      <c r="G6" s="78"/>
      <c r="H6" s="78"/>
      <c r="I6" s="78"/>
      <c r="J6" s="30">
        <f t="shared" si="0"/>
        <v>0</v>
      </c>
      <c r="K6" s="4"/>
    </row>
    <row r="7" spans="1:11" x14ac:dyDescent="0.25">
      <c r="A7" s="77">
        <f>RAWDATA!B6</f>
        <v>0</v>
      </c>
      <c r="B7" s="77">
        <f>RAWDATA!C6</f>
        <v>0</v>
      </c>
      <c r="C7" s="30">
        <f>RAWDATA!D6</f>
        <v>0</v>
      </c>
      <c r="D7" s="30">
        <f>RAWDATA!E6</f>
        <v>0</v>
      </c>
      <c r="E7" s="78"/>
      <c r="F7" s="78"/>
      <c r="G7" s="78"/>
      <c r="H7" s="78"/>
      <c r="I7" s="78"/>
      <c r="J7" s="30">
        <f t="shared" si="0"/>
        <v>0</v>
      </c>
      <c r="K7" s="4"/>
    </row>
    <row r="8" spans="1:11" x14ac:dyDescent="0.25">
      <c r="A8" s="77">
        <f>RAWDATA!B7</f>
        <v>0</v>
      </c>
      <c r="B8" s="77">
        <f>RAWDATA!C7</f>
        <v>0</v>
      </c>
      <c r="C8" s="30">
        <f>RAWDATA!D7</f>
        <v>0</v>
      </c>
      <c r="D8" s="30">
        <f>RAWDATA!E7</f>
        <v>0</v>
      </c>
      <c r="E8" s="78"/>
      <c r="F8" s="78"/>
      <c r="G8" s="78"/>
      <c r="H8" s="78"/>
      <c r="I8" s="78"/>
      <c r="J8" s="30">
        <f t="shared" si="0"/>
        <v>0</v>
      </c>
      <c r="K8" s="4"/>
    </row>
    <row r="9" spans="1:11" x14ac:dyDescent="0.25">
      <c r="A9" s="77">
        <f>RAWDATA!B8</f>
        <v>0</v>
      </c>
      <c r="B9" s="77">
        <f>RAWDATA!C8</f>
        <v>0</v>
      </c>
      <c r="C9" s="30">
        <f>RAWDATA!D8</f>
        <v>0</v>
      </c>
      <c r="D9" s="30">
        <f>RAWDATA!E8</f>
        <v>0</v>
      </c>
      <c r="E9" s="78"/>
      <c r="F9" s="78"/>
      <c r="G9" s="78"/>
      <c r="H9" s="78"/>
      <c r="I9" s="78"/>
      <c r="J9" s="30">
        <f t="shared" si="0"/>
        <v>0</v>
      </c>
      <c r="K9" s="4"/>
    </row>
    <row r="10" spans="1:11" x14ac:dyDescent="0.25">
      <c r="A10" s="77">
        <f>RAWDATA!B9</f>
        <v>0</v>
      </c>
      <c r="B10" s="77">
        <f>RAWDATA!C9</f>
        <v>0</v>
      </c>
      <c r="C10" s="30">
        <f>RAWDATA!D9</f>
        <v>0</v>
      </c>
      <c r="D10" s="30">
        <f>RAWDATA!E9</f>
        <v>0</v>
      </c>
      <c r="E10" s="78"/>
      <c r="F10" s="78"/>
      <c r="G10" s="78"/>
      <c r="H10" s="78"/>
      <c r="I10" s="78"/>
      <c r="J10" s="30">
        <f t="shared" si="0"/>
        <v>0</v>
      </c>
      <c r="K10" s="4"/>
    </row>
    <row r="11" spans="1:11" x14ac:dyDescent="0.25">
      <c r="A11" s="77">
        <f>RAWDATA!B10</f>
        <v>0</v>
      </c>
      <c r="B11" s="77">
        <f>RAWDATA!C10</f>
        <v>0</v>
      </c>
      <c r="C11" s="30">
        <f>RAWDATA!D10</f>
        <v>0</v>
      </c>
      <c r="D11" s="30">
        <f>RAWDATA!E10</f>
        <v>0</v>
      </c>
      <c r="E11" s="78"/>
      <c r="F11" s="78"/>
      <c r="G11" s="78"/>
      <c r="H11" s="78"/>
      <c r="I11" s="78"/>
      <c r="J11" s="30">
        <f t="shared" si="0"/>
        <v>0</v>
      </c>
      <c r="K11" s="4"/>
    </row>
    <row r="12" spans="1:11" x14ac:dyDescent="0.25">
      <c r="A12" s="77">
        <f>RAWDATA!B11</f>
        <v>0</v>
      </c>
      <c r="B12" s="77">
        <f>RAWDATA!C11</f>
        <v>0</v>
      </c>
      <c r="C12" s="30">
        <f>RAWDATA!D11</f>
        <v>0</v>
      </c>
      <c r="D12" s="30">
        <f>RAWDATA!E11</f>
        <v>0</v>
      </c>
      <c r="E12" s="78"/>
      <c r="F12" s="78"/>
      <c r="G12" s="78"/>
      <c r="H12" s="78"/>
      <c r="I12" s="78"/>
      <c r="J12" s="30">
        <f t="shared" si="0"/>
        <v>0</v>
      </c>
      <c r="K12" s="4"/>
    </row>
    <row r="13" spans="1:11" x14ac:dyDescent="0.25">
      <c r="A13" s="77">
        <f>RAWDATA!B12</f>
        <v>0</v>
      </c>
      <c r="B13" s="77">
        <f>RAWDATA!C12</f>
        <v>0</v>
      </c>
      <c r="C13" s="30">
        <f>RAWDATA!D12</f>
        <v>0</v>
      </c>
      <c r="D13" s="30">
        <f>RAWDATA!E12</f>
        <v>0</v>
      </c>
      <c r="E13" s="78"/>
      <c r="F13" s="78"/>
      <c r="G13" s="78"/>
      <c r="H13" s="78"/>
      <c r="I13" s="78"/>
      <c r="J13" s="30">
        <f t="shared" si="0"/>
        <v>0</v>
      </c>
      <c r="K13" s="4"/>
    </row>
    <row r="14" spans="1:11" x14ac:dyDescent="0.25">
      <c r="A14" s="77">
        <f>RAWDATA!B13</f>
        <v>0</v>
      </c>
      <c r="B14" s="77">
        <f>RAWDATA!C13</f>
        <v>0</v>
      </c>
      <c r="C14" s="30">
        <f>RAWDATA!D13</f>
        <v>0</v>
      </c>
      <c r="D14" s="30">
        <f>RAWDATA!E13</f>
        <v>0</v>
      </c>
      <c r="E14" s="78"/>
      <c r="F14" s="78"/>
      <c r="G14" s="78"/>
      <c r="H14" s="78"/>
      <c r="I14" s="78"/>
      <c r="J14" s="30">
        <f t="shared" si="0"/>
        <v>0</v>
      </c>
      <c r="K14" s="4"/>
    </row>
    <row r="15" spans="1:11" x14ac:dyDescent="0.25">
      <c r="A15" s="77">
        <f>RAWDATA!B14</f>
        <v>0</v>
      </c>
      <c r="B15" s="77">
        <f>RAWDATA!C14</f>
        <v>0</v>
      </c>
      <c r="C15" s="30">
        <f>RAWDATA!D14</f>
        <v>0</v>
      </c>
      <c r="D15" s="30">
        <f>RAWDATA!E14</f>
        <v>0</v>
      </c>
      <c r="E15" s="78"/>
      <c r="F15" s="78"/>
      <c r="G15" s="78"/>
      <c r="H15" s="78"/>
      <c r="I15" s="78"/>
      <c r="J15" s="30">
        <f t="shared" si="0"/>
        <v>0</v>
      </c>
      <c r="K15" s="4"/>
    </row>
    <row r="16" spans="1:11" x14ac:dyDescent="0.25">
      <c r="A16" s="77">
        <f>RAWDATA!B15</f>
        <v>0</v>
      </c>
      <c r="B16" s="77">
        <f>RAWDATA!C15</f>
        <v>0</v>
      </c>
      <c r="C16" s="30">
        <f>RAWDATA!D15</f>
        <v>0</v>
      </c>
      <c r="D16" s="30">
        <f>RAWDATA!E15</f>
        <v>0</v>
      </c>
      <c r="E16" s="78"/>
      <c r="F16" s="78"/>
      <c r="G16" s="78"/>
      <c r="H16" s="78"/>
      <c r="I16" s="78"/>
      <c r="J16" s="30">
        <f t="shared" si="0"/>
        <v>0</v>
      </c>
      <c r="K16" s="4"/>
    </row>
    <row r="17" spans="1:11" x14ac:dyDescent="0.25">
      <c r="A17" s="77">
        <f>RAWDATA!B16</f>
        <v>0</v>
      </c>
      <c r="B17" s="77">
        <f>RAWDATA!C16</f>
        <v>0</v>
      </c>
      <c r="C17" s="30">
        <f>RAWDATA!D16</f>
        <v>0</v>
      </c>
      <c r="D17" s="30">
        <f>RAWDATA!E16</f>
        <v>0</v>
      </c>
      <c r="E17" s="78"/>
      <c r="F17" s="78"/>
      <c r="G17" s="78"/>
      <c r="H17" s="78"/>
      <c r="I17" s="78"/>
      <c r="J17" s="30">
        <f t="shared" si="0"/>
        <v>0</v>
      </c>
      <c r="K17" s="4"/>
    </row>
    <row r="18" spans="1:11" x14ac:dyDescent="0.25">
      <c r="A18" s="77">
        <f>RAWDATA!B17</f>
        <v>0</v>
      </c>
      <c r="B18" s="77">
        <f>RAWDATA!C17</f>
        <v>0</v>
      </c>
      <c r="C18" s="30">
        <f>RAWDATA!D17</f>
        <v>0</v>
      </c>
      <c r="D18" s="30">
        <f>RAWDATA!E17</f>
        <v>0</v>
      </c>
      <c r="E18" s="78"/>
      <c r="F18" s="78"/>
      <c r="G18" s="78"/>
      <c r="H18" s="78"/>
      <c r="I18" s="78"/>
      <c r="J18" s="30">
        <f t="shared" si="0"/>
        <v>0</v>
      </c>
      <c r="K18" s="4"/>
    </row>
    <row r="19" spans="1:11" x14ac:dyDescent="0.25">
      <c r="A19" s="77">
        <f>RAWDATA!B18</f>
        <v>0</v>
      </c>
      <c r="B19" s="77">
        <f>RAWDATA!C18</f>
        <v>0</v>
      </c>
      <c r="C19" s="30">
        <f>RAWDATA!D18</f>
        <v>0</v>
      </c>
      <c r="D19" s="30">
        <f>RAWDATA!E18</f>
        <v>0</v>
      </c>
      <c r="E19" s="78"/>
      <c r="F19" s="78"/>
      <c r="G19" s="78"/>
      <c r="H19" s="78"/>
      <c r="I19" s="78"/>
      <c r="J19" s="30">
        <f t="shared" si="0"/>
        <v>0</v>
      </c>
      <c r="K19" s="4"/>
    </row>
    <row r="20" spans="1:11" x14ac:dyDescent="0.25">
      <c r="A20" s="77">
        <f>RAWDATA!B19</f>
        <v>0</v>
      </c>
      <c r="B20" s="77">
        <f>RAWDATA!C19</f>
        <v>0</v>
      </c>
      <c r="C20" s="30">
        <f>RAWDATA!D19</f>
        <v>0</v>
      </c>
      <c r="D20" s="30">
        <f>RAWDATA!E19</f>
        <v>0</v>
      </c>
      <c r="E20" s="78"/>
      <c r="F20" s="78"/>
      <c r="G20" s="78"/>
      <c r="H20" s="78"/>
      <c r="I20" s="78"/>
      <c r="J20" s="30">
        <f t="shared" si="0"/>
        <v>0</v>
      </c>
      <c r="K20" s="4"/>
    </row>
    <row r="21" spans="1:11" x14ac:dyDescent="0.25">
      <c r="A21" s="77">
        <f>RAWDATA!B20</f>
        <v>0</v>
      </c>
      <c r="B21" s="77">
        <f>RAWDATA!C20</f>
        <v>0</v>
      </c>
      <c r="C21" s="30">
        <f>RAWDATA!D20</f>
        <v>0</v>
      </c>
      <c r="D21" s="30">
        <f>RAWDATA!E20</f>
        <v>0</v>
      </c>
      <c r="E21" s="78"/>
      <c r="F21" s="78"/>
      <c r="G21" s="78"/>
      <c r="H21" s="78"/>
      <c r="I21" s="78"/>
      <c r="J21" s="30">
        <f t="shared" si="0"/>
        <v>0</v>
      </c>
      <c r="K21" s="4"/>
    </row>
    <row r="22" spans="1:11" x14ac:dyDescent="0.25">
      <c r="A22" s="77">
        <f>RAWDATA!B21</f>
        <v>0</v>
      </c>
      <c r="B22" s="77">
        <f>RAWDATA!C21</f>
        <v>0</v>
      </c>
      <c r="C22" s="30">
        <f>RAWDATA!D21</f>
        <v>0</v>
      </c>
      <c r="D22" s="30">
        <f>RAWDATA!E21</f>
        <v>0</v>
      </c>
      <c r="E22" s="78"/>
      <c r="F22" s="78"/>
      <c r="G22" s="78"/>
      <c r="H22" s="78"/>
      <c r="I22" s="78"/>
      <c r="J22" s="30">
        <f t="shared" si="0"/>
        <v>0</v>
      </c>
      <c r="K22" s="4"/>
    </row>
    <row r="23" spans="1:11" x14ac:dyDescent="0.25">
      <c r="A23" s="77">
        <f>RAWDATA!B22</f>
        <v>0</v>
      </c>
      <c r="B23" s="77">
        <f>RAWDATA!C22</f>
        <v>0</v>
      </c>
      <c r="C23" s="30">
        <f>RAWDATA!D22</f>
        <v>0</v>
      </c>
      <c r="D23" s="30">
        <f>RAWDATA!E22</f>
        <v>0</v>
      </c>
      <c r="E23" s="78"/>
      <c r="F23" s="78"/>
      <c r="G23" s="78"/>
      <c r="H23" s="78"/>
      <c r="I23" s="78"/>
      <c r="J23" s="30">
        <f t="shared" si="0"/>
        <v>0</v>
      </c>
      <c r="K23" s="4"/>
    </row>
    <row r="24" spans="1:11" x14ac:dyDescent="0.25">
      <c r="A24" s="77">
        <f>RAWDATA!B23</f>
        <v>0</v>
      </c>
      <c r="B24" s="77">
        <f>RAWDATA!C23</f>
        <v>0</v>
      </c>
      <c r="C24" s="30">
        <f>RAWDATA!D23</f>
        <v>0</v>
      </c>
      <c r="D24" s="30">
        <f>RAWDATA!E23</f>
        <v>0</v>
      </c>
      <c r="E24" s="78"/>
      <c r="F24" s="78"/>
      <c r="G24" s="78"/>
      <c r="H24" s="78"/>
      <c r="I24" s="78"/>
      <c r="J24" s="30">
        <f t="shared" si="0"/>
        <v>0</v>
      </c>
      <c r="K24" s="4"/>
    </row>
    <row r="25" spans="1:11" x14ac:dyDescent="0.25">
      <c r="A25" s="77">
        <f>RAWDATA!B24</f>
        <v>0</v>
      </c>
      <c r="B25" s="77">
        <f>RAWDATA!C24</f>
        <v>0</v>
      </c>
      <c r="C25" s="30">
        <f>RAWDATA!D24</f>
        <v>0</v>
      </c>
      <c r="D25" s="30">
        <f>RAWDATA!E24</f>
        <v>0</v>
      </c>
      <c r="E25" s="78"/>
      <c r="F25" s="78"/>
      <c r="G25" s="78"/>
      <c r="H25" s="78"/>
      <c r="I25" s="78"/>
      <c r="J25" s="30">
        <f t="shared" si="0"/>
        <v>0</v>
      </c>
      <c r="K25" s="4"/>
    </row>
    <row r="26" spans="1:11" x14ac:dyDescent="0.25">
      <c r="A26" s="77">
        <f>RAWDATA!B25</f>
        <v>0</v>
      </c>
      <c r="B26" s="77">
        <f>RAWDATA!C25</f>
        <v>0</v>
      </c>
      <c r="C26" s="30">
        <f>RAWDATA!D25</f>
        <v>0</v>
      </c>
      <c r="D26" s="30">
        <f>RAWDATA!E25</f>
        <v>0</v>
      </c>
      <c r="E26" s="78"/>
      <c r="F26" s="78"/>
      <c r="G26" s="78"/>
      <c r="H26" s="78"/>
      <c r="I26" s="78"/>
      <c r="J26" s="30">
        <f t="shared" si="0"/>
        <v>0</v>
      </c>
      <c r="K26" s="4"/>
    </row>
    <row r="27" spans="1:11" x14ac:dyDescent="0.25">
      <c r="A27" s="77">
        <f>RAWDATA!B26</f>
        <v>0</v>
      </c>
      <c r="B27" s="77">
        <f>RAWDATA!C26</f>
        <v>0</v>
      </c>
      <c r="C27" s="30">
        <f>RAWDATA!D26</f>
        <v>0</v>
      </c>
      <c r="D27" s="30">
        <f>RAWDATA!E26</f>
        <v>0</v>
      </c>
      <c r="E27" s="78"/>
      <c r="F27" s="78"/>
      <c r="G27" s="78"/>
      <c r="H27" s="78"/>
      <c r="I27" s="78"/>
      <c r="J27" s="30">
        <f t="shared" si="0"/>
        <v>0</v>
      </c>
      <c r="K27" s="4"/>
    </row>
    <row r="28" spans="1:11" x14ac:dyDescent="0.25">
      <c r="A28" s="4"/>
      <c r="B28" s="4" t="s">
        <v>9</v>
      </c>
      <c r="C28" s="6"/>
      <c r="D28" s="6"/>
      <c r="E28" s="9"/>
      <c r="F28" s="9"/>
      <c r="G28" s="9"/>
      <c r="H28" s="9"/>
      <c r="I28" s="9"/>
      <c r="J28" s="4"/>
      <c r="K28" s="4"/>
    </row>
    <row r="29" spans="1:11" x14ac:dyDescent="0.25">
      <c r="A29" s="1"/>
      <c r="B29" s="1" t="s">
        <v>125</v>
      </c>
      <c r="C29" s="3"/>
      <c r="D29" s="3"/>
      <c r="E29" s="11"/>
      <c r="F29" s="11"/>
      <c r="G29" s="11"/>
      <c r="H29" s="11"/>
      <c r="I29" s="11"/>
      <c r="J29" s="10">
        <f>AVERAGE(IF(ISNUMBER(J3:J27),J3:J27))</f>
        <v>0</v>
      </c>
      <c r="K29" s="4"/>
    </row>
    <row r="30" spans="1:11" x14ac:dyDescent="0.25">
      <c r="A30" s="4"/>
      <c r="B30" s="4" t="s">
        <v>10</v>
      </c>
      <c r="C30" s="6"/>
      <c r="D30" s="6"/>
      <c r="E30" s="9"/>
      <c r="F30" s="9"/>
      <c r="G30" s="9"/>
      <c r="H30" s="9"/>
      <c r="I30" s="9"/>
      <c r="J30" s="5">
        <f>ROUNDUP(STDEVP(J3:J19),1)</f>
        <v>0</v>
      </c>
      <c r="K30" s="4"/>
    </row>
  </sheetData>
  <sheetProtection sheet="1" objects="1" scenarios="1" formatCells="0" selectLockedCells="1"/>
  <mergeCells count="1">
    <mergeCell ref="E1:I1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pageSetUpPr fitToPage="1"/>
  </sheetPr>
  <dimension ref="A1:H13"/>
  <sheetViews>
    <sheetView workbookViewId="0">
      <selection activeCell="B13" sqref="B13"/>
    </sheetView>
  </sheetViews>
  <sheetFormatPr baseColWidth="10" defaultColWidth="0" defaultRowHeight="15" zeroHeight="1" x14ac:dyDescent="0.25"/>
  <cols>
    <col min="1" max="1" width="11.42578125" customWidth="1"/>
    <col min="2" max="2" width="11.42578125" style="7" customWidth="1"/>
    <col min="3" max="8" width="11.42578125" customWidth="1"/>
    <col min="9" max="16384" width="11.42578125" hidden="1"/>
  </cols>
  <sheetData>
    <row r="1" spans="1:4" x14ac:dyDescent="0.25">
      <c r="A1" s="88" t="str">
        <f>Notenliste!B34</f>
        <v>course.name</v>
      </c>
      <c r="B1" s="88"/>
      <c r="C1" s="8" t="s">
        <v>12</v>
      </c>
      <c r="D1" s="12" t="e">
        <f>Notenliste!F28</f>
        <v>#DIV/0!</v>
      </c>
    </row>
    <row r="2" spans="1:4" x14ac:dyDescent="0.25">
      <c r="A2" s="7" t="s">
        <v>5</v>
      </c>
      <c r="B2" s="7" t="s">
        <v>11</v>
      </c>
    </row>
    <row r="3" spans="1:4" x14ac:dyDescent="0.25">
      <c r="A3" s="7">
        <v>1</v>
      </c>
      <c r="B3" s="7">
        <f>COUNTIF(Notenliste!$F$2:$F$26,A3)</f>
        <v>0</v>
      </c>
    </row>
    <row r="4" spans="1:4" x14ac:dyDescent="0.25">
      <c r="A4" s="7">
        <v>1.3</v>
      </c>
      <c r="B4" s="7">
        <f>COUNTIF(Notenliste!$F$2:$F$26,A4)</f>
        <v>0</v>
      </c>
    </row>
    <row r="5" spans="1:4" x14ac:dyDescent="0.25">
      <c r="A5" s="7">
        <v>1.7</v>
      </c>
      <c r="B5" s="7">
        <f>COUNTIF(Notenliste!$F$2:$F$26,A5)</f>
        <v>0</v>
      </c>
    </row>
    <row r="6" spans="1:4" x14ac:dyDescent="0.25">
      <c r="A6" s="7">
        <v>2</v>
      </c>
      <c r="B6" s="7">
        <f>COUNTIF(Notenliste!$F$2:$F$26,A6)</f>
        <v>0</v>
      </c>
    </row>
    <row r="7" spans="1:4" x14ac:dyDescent="0.25">
      <c r="A7" s="7">
        <v>2.2999999999999998</v>
      </c>
      <c r="B7" s="7">
        <f>COUNTIF(Notenliste!$F$2:$F$26,A7)</f>
        <v>0</v>
      </c>
    </row>
    <row r="8" spans="1:4" x14ac:dyDescent="0.25">
      <c r="A8" s="7">
        <v>2.7</v>
      </c>
      <c r="B8" s="7">
        <f>COUNTIF(Notenliste!$F$2:$F$26,A8)</f>
        <v>0</v>
      </c>
    </row>
    <row r="9" spans="1:4" x14ac:dyDescent="0.25">
      <c r="A9" s="7">
        <v>3</v>
      </c>
      <c r="B9" s="7">
        <f>COUNTIF(Notenliste!$F$2:$F$26,A9)</f>
        <v>0</v>
      </c>
    </row>
    <row r="10" spans="1:4" x14ac:dyDescent="0.25">
      <c r="A10" s="7">
        <v>3.3</v>
      </c>
      <c r="B10" s="7">
        <f>COUNTIF(Notenliste!$F$2:$F$26,A10)</f>
        <v>0</v>
      </c>
    </row>
    <row r="11" spans="1:4" x14ac:dyDescent="0.25">
      <c r="A11" s="7">
        <v>3.7</v>
      </c>
      <c r="B11" s="7">
        <f>COUNTIF(Notenliste!$F$2:$F$26,A11)</f>
        <v>0</v>
      </c>
    </row>
    <row r="12" spans="1:4" x14ac:dyDescent="0.25">
      <c r="A12" s="7">
        <v>4</v>
      </c>
      <c r="B12" s="7">
        <f>COUNTIF(Notenliste!$F$2:$F$26,A12)</f>
        <v>0</v>
      </c>
    </row>
    <row r="13" spans="1:4" x14ac:dyDescent="0.25">
      <c r="A13" s="7" t="s">
        <v>29</v>
      </c>
      <c r="B13" s="7">
        <f>COUNTIF(Notenliste!$F$2:$F$26,A13)</f>
        <v>0</v>
      </c>
    </row>
  </sheetData>
  <sheetProtection sheet="1" scenarios="1" selectLockedCells="1" selectUnlockedCells="1"/>
  <mergeCells count="1">
    <mergeCell ref="A1:B1"/>
  </mergeCells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>
    <pageSetUpPr fitToPage="1"/>
  </sheetPr>
  <dimension ref="A1:P34"/>
  <sheetViews>
    <sheetView showZeros="0" workbookViewId="0">
      <selection activeCell="N3" sqref="N1:N1048576"/>
    </sheetView>
  </sheetViews>
  <sheetFormatPr baseColWidth="10" defaultColWidth="0" defaultRowHeight="15" zeroHeight="1" x14ac:dyDescent="0.25"/>
  <cols>
    <col min="1" max="1" width="3.7109375" style="7" bestFit="1" customWidth="1"/>
    <col min="2" max="3" width="25.7109375" customWidth="1"/>
    <col min="4" max="5" width="10.7109375" style="20" customWidth="1"/>
    <col min="6" max="6" width="40.7109375" customWidth="1"/>
    <col min="7" max="7" width="20.7109375" customWidth="1"/>
    <col min="8" max="8" width="10.7109375" hidden="1" customWidth="1"/>
    <col min="9" max="9" width="9.28515625" hidden="1" customWidth="1"/>
    <col min="10" max="13" width="5.7109375" style="7" customWidth="1"/>
    <col min="14" max="14" width="1.7109375" customWidth="1"/>
    <col min="17" max="16384" width="11.42578125" hidden="1"/>
  </cols>
  <sheetData>
    <row r="1" spans="1:14" ht="40.15" customHeight="1" x14ac:dyDescent="0.25">
      <c r="A1" s="89" t="str">
        <f>Notenliste!B34&amp;Notenliste!B35</f>
        <v>course.namecourse.alternative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ht="19.899999999999999" customHeight="1" x14ac:dyDescent="0.25">
      <c r="A2" s="90" t="str">
        <f>"Dozent/in: "&amp;Notenliste!B31</f>
        <v>Dozent/in: course.teacher_name</v>
      </c>
      <c r="B2" s="90"/>
      <c r="C2" s="90"/>
      <c r="D2" s="90"/>
      <c r="E2" s="90"/>
      <c r="F2" s="90"/>
      <c r="G2" s="91" t="str">
        <f>"Semester: "&amp;Notenliste!B36</f>
        <v>Semester: semester</v>
      </c>
      <c r="H2" s="91"/>
      <c r="I2" s="91"/>
      <c r="J2" s="91"/>
      <c r="K2" s="91"/>
      <c r="L2" s="91"/>
      <c r="M2" s="91"/>
      <c r="N2" s="57"/>
    </row>
    <row r="3" spans="1:14" s="16" customFormat="1" ht="60" customHeight="1" x14ac:dyDescent="0.25">
      <c r="A3" s="14" t="s">
        <v>24</v>
      </c>
      <c r="B3" s="15" t="s">
        <v>17</v>
      </c>
      <c r="C3" s="15" t="s">
        <v>18</v>
      </c>
      <c r="D3" s="14" t="s">
        <v>31</v>
      </c>
      <c r="E3" s="14" t="s">
        <v>27</v>
      </c>
      <c r="F3" s="15" t="s">
        <v>19</v>
      </c>
      <c r="G3" s="15" t="s">
        <v>20</v>
      </c>
      <c r="H3" s="14" t="s">
        <v>21</v>
      </c>
      <c r="I3" s="14" t="s">
        <v>22</v>
      </c>
      <c r="J3" s="21" t="s">
        <v>33</v>
      </c>
      <c r="K3" s="21" t="s">
        <v>5</v>
      </c>
      <c r="L3" s="21" t="s">
        <v>23</v>
      </c>
      <c r="M3" s="21" t="s">
        <v>146</v>
      </c>
      <c r="N3" s="58"/>
    </row>
    <row r="4" spans="1:14" x14ac:dyDescent="0.25">
      <c r="A4" s="17">
        <v>1</v>
      </c>
      <c r="B4" s="18" t="str">
        <f>RAWDATA!B2</f>
        <v>applicant.last_name</v>
      </c>
      <c r="C4" s="18" t="str">
        <f>RAWDATA!C2</f>
        <v>applicant.first_name</v>
      </c>
      <c r="D4" s="19" t="str">
        <f>RAWDATA!D2</f>
        <v>applicant.origin.short_name</v>
      </c>
      <c r="E4" s="19" t="str">
        <f>RAWDATA!E2</f>
        <v>applicant.tag</v>
      </c>
      <c r="F4" s="18" t="str">
        <f>RAWDATA!H2</f>
        <v>applicant.mail</v>
      </c>
      <c r="G4" s="18" t="str">
        <f>RAWDATA!I2</f>
        <v>applicant.phone</v>
      </c>
      <c r="H4" s="19">
        <f>RAWDATA!M2</f>
        <v>0</v>
      </c>
      <c r="I4" s="19">
        <f>RAWDATA!N2</f>
        <v>0</v>
      </c>
      <c r="J4" s="17" t="e">
        <f>IF(OR(K4&lt;=4, K4="bestanden"),"X","")</f>
        <v>#VALUE!</v>
      </c>
      <c r="K4" s="17" t="e">
        <f>IF(Notenliste!F2="KP","",IF(OR(Notenliste!P2="x", Notenliste!P2="X"), "bestanden",Notenliste!F2))</f>
        <v>#VALUE!</v>
      </c>
      <c r="L4" s="17" t="e">
        <f>Notenliste!E2</f>
        <v>#VALUE!</v>
      </c>
      <c r="M4" s="17" t="e">
        <f>IF(Notenliste!F2="KP","",Notenliste!Q2)</f>
        <v>#VALUE!</v>
      </c>
      <c r="N4" s="57"/>
    </row>
    <row r="5" spans="1:14" x14ac:dyDescent="0.25">
      <c r="A5" s="17">
        <v>2</v>
      </c>
      <c r="B5" s="18">
        <f>RAWDATA!B3</f>
        <v>0</v>
      </c>
      <c r="C5" s="18">
        <f>RAWDATA!C3</f>
        <v>0</v>
      </c>
      <c r="D5" s="19">
        <f>RAWDATA!D3</f>
        <v>0</v>
      </c>
      <c r="E5" s="19">
        <f>RAWDATA!E3</f>
        <v>0</v>
      </c>
      <c r="F5" s="18">
        <f>RAWDATA!H3</f>
        <v>0</v>
      </c>
      <c r="G5" s="18">
        <f>RAWDATA!I3</f>
        <v>0</v>
      </c>
      <c r="H5" s="19">
        <f>RAWDATA!M3</f>
        <v>0</v>
      </c>
      <c r="I5" s="19">
        <f>RAWDATA!N3</f>
        <v>0</v>
      </c>
      <c r="J5" s="17" t="str">
        <f t="shared" ref="J5:J28" si="0">IF(OR(K5&lt;=4, K5="bestanden"),"X","")</f>
        <v/>
      </c>
      <c r="K5" s="17" t="str">
        <f>IF(Notenliste!F3="KP","",IF(OR(Notenliste!P3="x", Notenliste!P3="X"), "bestanden",Notenliste!F3))</f>
        <v/>
      </c>
      <c r="L5" s="17">
        <f>Notenliste!E3</f>
        <v>0</v>
      </c>
      <c r="M5" s="17" t="str">
        <f>IF(Notenliste!F3="KP","",Notenliste!Q3)</f>
        <v/>
      </c>
      <c r="N5" s="57"/>
    </row>
    <row r="6" spans="1:14" x14ac:dyDescent="0.25">
      <c r="A6" s="17">
        <v>3</v>
      </c>
      <c r="B6" s="18">
        <f>RAWDATA!B4</f>
        <v>0</v>
      </c>
      <c r="C6" s="18">
        <f>RAWDATA!C4</f>
        <v>0</v>
      </c>
      <c r="D6" s="19">
        <f>RAWDATA!D4</f>
        <v>0</v>
      </c>
      <c r="E6" s="19">
        <f>RAWDATA!E4</f>
        <v>0</v>
      </c>
      <c r="F6" s="18">
        <f>RAWDATA!H4</f>
        <v>0</v>
      </c>
      <c r="G6" s="18">
        <f>RAWDATA!I4</f>
        <v>0</v>
      </c>
      <c r="H6" s="19">
        <f>RAWDATA!M4</f>
        <v>0</v>
      </c>
      <c r="I6" s="19">
        <f>RAWDATA!N4</f>
        <v>0</v>
      </c>
      <c r="J6" s="17" t="str">
        <f t="shared" si="0"/>
        <v/>
      </c>
      <c r="K6" s="17" t="str">
        <f>IF(Notenliste!F4="KP","",IF(OR(Notenliste!P4="x", Notenliste!P4="X"), "bestanden",Notenliste!F4))</f>
        <v/>
      </c>
      <c r="L6" s="17">
        <f>Notenliste!E4</f>
        <v>0</v>
      </c>
      <c r="M6" s="17" t="str">
        <f>IF(Notenliste!F4="KP","",Notenliste!Q4)</f>
        <v/>
      </c>
      <c r="N6" s="57"/>
    </row>
    <row r="7" spans="1:14" x14ac:dyDescent="0.25">
      <c r="A7" s="17">
        <v>4</v>
      </c>
      <c r="B7" s="18">
        <f>RAWDATA!B5</f>
        <v>0</v>
      </c>
      <c r="C7" s="18">
        <f>RAWDATA!C5</f>
        <v>0</v>
      </c>
      <c r="D7" s="19">
        <f>RAWDATA!D5</f>
        <v>0</v>
      </c>
      <c r="E7" s="19">
        <f>RAWDATA!E5</f>
        <v>0</v>
      </c>
      <c r="F7" s="18">
        <f>RAWDATA!H5</f>
        <v>0</v>
      </c>
      <c r="G7" s="18">
        <f>RAWDATA!I5</f>
        <v>0</v>
      </c>
      <c r="H7" s="19">
        <f>RAWDATA!M5</f>
        <v>0</v>
      </c>
      <c r="I7" s="19">
        <f>RAWDATA!N5</f>
        <v>0</v>
      </c>
      <c r="J7" s="17" t="str">
        <f t="shared" si="0"/>
        <v/>
      </c>
      <c r="K7" s="17" t="str">
        <f>IF(Notenliste!F5="KP","",IF(OR(Notenliste!P5="x", Notenliste!P5="X"), "bestanden",Notenliste!F5))</f>
        <v/>
      </c>
      <c r="L7" s="17">
        <f>Notenliste!E5</f>
        <v>0</v>
      </c>
      <c r="M7" s="17" t="str">
        <f>IF(Notenliste!F5="KP","",Notenliste!Q5)</f>
        <v/>
      </c>
      <c r="N7" s="57"/>
    </row>
    <row r="8" spans="1:14" x14ac:dyDescent="0.25">
      <c r="A8" s="17">
        <v>5</v>
      </c>
      <c r="B8" s="18">
        <f>RAWDATA!B6</f>
        <v>0</v>
      </c>
      <c r="C8" s="18">
        <f>RAWDATA!C6</f>
        <v>0</v>
      </c>
      <c r="D8" s="19">
        <f>RAWDATA!D6</f>
        <v>0</v>
      </c>
      <c r="E8" s="19">
        <f>RAWDATA!E6</f>
        <v>0</v>
      </c>
      <c r="F8" s="18">
        <f>RAWDATA!H6</f>
        <v>0</v>
      </c>
      <c r="G8" s="18">
        <f>RAWDATA!I6</f>
        <v>0</v>
      </c>
      <c r="H8" s="19">
        <f>RAWDATA!M6</f>
        <v>0</v>
      </c>
      <c r="I8" s="19">
        <f>RAWDATA!N6</f>
        <v>0</v>
      </c>
      <c r="J8" s="17" t="str">
        <f t="shared" si="0"/>
        <v/>
      </c>
      <c r="K8" s="17" t="str">
        <f>IF(Notenliste!F6="KP","",IF(OR(Notenliste!P6="x", Notenliste!P6="X"), "bestanden",Notenliste!F6))</f>
        <v/>
      </c>
      <c r="L8" s="17">
        <f>Notenliste!E6</f>
        <v>0</v>
      </c>
      <c r="M8" s="17" t="str">
        <f>IF(Notenliste!F6="KP","",Notenliste!Q6)</f>
        <v/>
      </c>
      <c r="N8" s="57"/>
    </row>
    <row r="9" spans="1:14" x14ac:dyDescent="0.25">
      <c r="A9" s="17">
        <v>6</v>
      </c>
      <c r="B9" s="18">
        <f>RAWDATA!B7</f>
        <v>0</v>
      </c>
      <c r="C9" s="18">
        <f>RAWDATA!C7</f>
        <v>0</v>
      </c>
      <c r="D9" s="19">
        <f>RAWDATA!D7</f>
        <v>0</v>
      </c>
      <c r="E9" s="19">
        <f>RAWDATA!E7</f>
        <v>0</v>
      </c>
      <c r="F9" s="18">
        <f>RAWDATA!H7</f>
        <v>0</v>
      </c>
      <c r="G9" s="18">
        <f>RAWDATA!I7</f>
        <v>0</v>
      </c>
      <c r="H9" s="19">
        <f>RAWDATA!M7</f>
        <v>0</v>
      </c>
      <c r="I9" s="19">
        <f>RAWDATA!N7</f>
        <v>0</v>
      </c>
      <c r="J9" s="17" t="str">
        <f t="shared" si="0"/>
        <v/>
      </c>
      <c r="K9" s="17" t="str">
        <f>IF(Notenliste!F7="KP","",IF(OR(Notenliste!P7="x", Notenliste!P7="X"), "bestanden",Notenliste!F7))</f>
        <v/>
      </c>
      <c r="L9" s="17">
        <f>Notenliste!E7</f>
        <v>0</v>
      </c>
      <c r="M9" s="17" t="str">
        <f>IF(Notenliste!F7="KP","",Notenliste!Q7)</f>
        <v/>
      </c>
      <c r="N9" s="57"/>
    </row>
    <row r="10" spans="1:14" x14ac:dyDescent="0.25">
      <c r="A10" s="17">
        <v>7</v>
      </c>
      <c r="B10" s="18">
        <f>RAWDATA!B8</f>
        <v>0</v>
      </c>
      <c r="C10" s="18">
        <f>RAWDATA!C8</f>
        <v>0</v>
      </c>
      <c r="D10" s="19">
        <f>RAWDATA!D8</f>
        <v>0</v>
      </c>
      <c r="E10" s="19">
        <f>RAWDATA!E8</f>
        <v>0</v>
      </c>
      <c r="F10" s="18">
        <f>RAWDATA!H8</f>
        <v>0</v>
      </c>
      <c r="G10" s="18">
        <f>RAWDATA!I8</f>
        <v>0</v>
      </c>
      <c r="H10" s="19">
        <f>RAWDATA!M8</f>
        <v>0</v>
      </c>
      <c r="I10" s="19">
        <f>RAWDATA!N8</f>
        <v>0</v>
      </c>
      <c r="J10" s="17" t="str">
        <f t="shared" si="0"/>
        <v/>
      </c>
      <c r="K10" s="17" t="str">
        <f>IF(Notenliste!F8="KP","",IF(OR(Notenliste!P8="x", Notenliste!P8="X"), "bestanden",Notenliste!F8))</f>
        <v/>
      </c>
      <c r="L10" s="17">
        <f>Notenliste!E8</f>
        <v>0</v>
      </c>
      <c r="M10" s="17" t="str">
        <f>IF(Notenliste!F8="KP","",Notenliste!Q8)</f>
        <v/>
      </c>
      <c r="N10" s="57"/>
    </row>
    <row r="11" spans="1:14" x14ac:dyDescent="0.25">
      <c r="A11" s="17">
        <v>8</v>
      </c>
      <c r="B11" s="18">
        <f>RAWDATA!B9</f>
        <v>0</v>
      </c>
      <c r="C11" s="18">
        <f>RAWDATA!C9</f>
        <v>0</v>
      </c>
      <c r="D11" s="19">
        <f>RAWDATA!D9</f>
        <v>0</v>
      </c>
      <c r="E11" s="19">
        <f>RAWDATA!E9</f>
        <v>0</v>
      </c>
      <c r="F11" s="18">
        <f>RAWDATA!H9</f>
        <v>0</v>
      </c>
      <c r="G11" s="18">
        <f>RAWDATA!I9</f>
        <v>0</v>
      </c>
      <c r="H11" s="19">
        <f>RAWDATA!M9</f>
        <v>0</v>
      </c>
      <c r="I11" s="19">
        <f>RAWDATA!N9</f>
        <v>0</v>
      </c>
      <c r="J11" s="17" t="str">
        <f t="shared" si="0"/>
        <v/>
      </c>
      <c r="K11" s="17" t="str">
        <f>IF(Notenliste!F9="KP","",IF(OR(Notenliste!P9="x", Notenliste!P9="X"), "bestanden",Notenliste!F9))</f>
        <v/>
      </c>
      <c r="L11" s="17">
        <f>Notenliste!E9</f>
        <v>0</v>
      </c>
      <c r="M11" s="17" t="str">
        <f>IF(Notenliste!F9="KP","",Notenliste!Q9)</f>
        <v/>
      </c>
      <c r="N11" s="57"/>
    </row>
    <row r="12" spans="1:14" x14ac:dyDescent="0.25">
      <c r="A12" s="17">
        <v>9</v>
      </c>
      <c r="B12" s="18">
        <f>RAWDATA!B10</f>
        <v>0</v>
      </c>
      <c r="C12" s="18">
        <f>RAWDATA!C10</f>
        <v>0</v>
      </c>
      <c r="D12" s="19">
        <f>RAWDATA!D10</f>
        <v>0</v>
      </c>
      <c r="E12" s="19">
        <f>RAWDATA!E10</f>
        <v>0</v>
      </c>
      <c r="F12" s="18">
        <f>RAWDATA!H10</f>
        <v>0</v>
      </c>
      <c r="G12" s="18">
        <f>RAWDATA!I10</f>
        <v>0</v>
      </c>
      <c r="H12" s="19">
        <f>RAWDATA!M10</f>
        <v>0</v>
      </c>
      <c r="I12" s="19">
        <f>RAWDATA!N10</f>
        <v>0</v>
      </c>
      <c r="J12" s="17" t="str">
        <f t="shared" si="0"/>
        <v/>
      </c>
      <c r="K12" s="17" t="str">
        <f>IF(Notenliste!F10="KP","",IF(OR(Notenliste!P10="x", Notenliste!P10="X"), "bestanden",Notenliste!F10))</f>
        <v/>
      </c>
      <c r="L12" s="17">
        <f>Notenliste!E10</f>
        <v>0</v>
      </c>
      <c r="M12" s="17" t="str">
        <f>IF(Notenliste!F10="KP","",Notenliste!Q10)</f>
        <v/>
      </c>
      <c r="N12" s="57"/>
    </row>
    <row r="13" spans="1:14" x14ac:dyDescent="0.25">
      <c r="A13" s="17">
        <v>10</v>
      </c>
      <c r="B13" s="18">
        <f>RAWDATA!B11</f>
        <v>0</v>
      </c>
      <c r="C13" s="18">
        <f>RAWDATA!C11</f>
        <v>0</v>
      </c>
      <c r="D13" s="19">
        <f>RAWDATA!D11</f>
        <v>0</v>
      </c>
      <c r="E13" s="19">
        <f>RAWDATA!E11</f>
        <v>0</v>
      </c>
      <c r="F13" s="18">
        <f>RAWDATA!H11</f>
        <v>0</v>
      </c>
      <c r="G13" s="18">
        <f>RAWDATA!I11</f>
        <v>0</v>
      </c>
      <c r="H13" s="19">
        <f>RAWDATA!M11</f>
        <v>0</v>
      </c>
      <c r="I13" s="19">
        <f>RAWDATA!N11</f>
        <v>0</v>
      </c>
      <c r="J13" s="17" t="str">
        <f t="shared" si="0"/>
        <v/>
      </c>
      <c r="K13" s="17" t="str">
        <f>IF(Notenliste!F11="KP","",IF(OR(Notenliste!P11="x", Notenliste!P11="X"), "bestanden",Notenliste!F11))</f>
        <v/>
      </c>
      <c r="L13" s="17">
        <f>Notenliste!E11</f>
        <v>0</v>
      </c>
      <c r="M13" s="17" t="str">
        <f>IF(Notenliste!F11="KP","",Notenliste!Q11)</f>
        <v/>
      </c>
      <c r="N13" s="57"/>
    </row>
    <row r="14" spans="1:14" x14ac:dyDescent="0.25">
      <c r="A14" s="17">
        <v>11</v>
      </c>
      <c r="B14" s="18">
        <f>RAWDATA!B12</f>
        <v>0</v>
      </c>
      <c r="C14" s="18">
        <f>RAWDATA!C12</f>
        <v>0</v>
      </c>
      <c r="D14" s="19">
        <f>RAWDATA!D12</f>
        <v>0</v>
      </c>
      <c r="E14" s="19">
        <f>RAWDATA!E12</f>
        <v>0</v>
      </c>
      <c r="F14" s="18">
        <f>RAWDATA!H12</f>
        <v>0</v>
      </c>
      <c r="G14" s="18">
        <f>RAWDATA!I12</f>
        <v>0</v>
      </c>
      <c r="H14" s="19">
        <f>RAWDATA!M12</f>
        <v>0</v>
      </c>
      <c r="I14" s="19">
        <f>RAWDATA!N12</f>
        <v>0</v>
      </c>
      <c r="J14" s="17" t="str">
        <f t="shared" si="0"/>
        <v/>
      </c>
      <c r="K14" s="17" t="str">
        <f>IF(Notenliste!F12="KP","",IF(OR(Notenliste!P12="x", Notenliste!P12="X"), "bestanden",Notenliste!F12))</f>
        <v/>
      </c>
      <c r="L14" s="17">
        <f>Notenliste!E12</f>
        <v>0</v>
      </c>
      <c r="M14" s="17" t="str">
        <f>IF(Notenliste!F12="KP","",Notenliste!Q12)</f>
        <v/>
      </c>
      <c r="N14" s="57"/>
    </row>
    <row r="15" spans="1:14" x14ac:dyDescent="0.25">
      <c r="A15" s="17">
        <v>12</v>
      </c>
      <c r="B15" s="18">
        <f>RAWDATA!B13</f>
        <v>0</v>
      </c>
      <c r="C15" s="18">
        <f>RAWDATA!C13</f>
        <v>0</v>
      </c>
      <c r="D15" s="19">
        <f>RAWDATA!D13</f>
        <v>0</v>
      </c>
      <c r="E15" s="19">
        <f>RAWDATA!E13</f>
        <v>0</v>
      </c>
      <c r="F15" s="18">
        <f>RAWDATA!H13</f>
        <v>0</v>
      </c>
      <c r="G15" s="18">
        <f>RAWDATA!I13</f>
        <v>0</v>
      </c>
      <c r="H15" s="19">
        <f>RAWDATA!M13</f>
        <v>0</v>
      </c>
      <c r="I15" s="19">
        <f>RAWDATA!N13</f>
        <v>0</v>
      </c>
      <c r="J15" s="17" t="str">
        <f t="shared" si="0"/>
        <v/>
      </c>
      <c r="K15" s="17" t="str">
        <f>IF(Notenliste!F13="KP","",IF(OR(Notenliste!P13="x", Notenliste!P13="X"), "bestanden",Notenliste!F13))</f>
        <v/>
      </c>
      <c r="L15" s="17">
        <f>Notenliste!E13</f>
        <v>0</v>
      </c>
      <c r="M15" s="17" t="str">
        <f>IF(Notenliste!F13="KP","",Notenliste!Q13)</f>
        <v/>
      </c>
      <c r="N15" s="57"/>
    </row>
    <row r="16" spans="1:14" x14ac:dyDescent="0.25">
      <c r="A16" s="17">
        <v>13</v>
      </c>
      <c r="B16" s="18">
        <f>RAWDATA!B14</f>
        <v>0</v>
      </c>
      <c r="C16" s="18">
        <f>RAWDATA!C14</f>
        <v>0</v>
      </c>
      <c r="D16" s="19">
        <f>RAWDATA!D14</f>
        <v>0</v>
      </c>
      <c r="E16" s="19">
        <f>RAWDATA!E14</f>
        <v>0</v>
      </c>
      <c r="F16" s="18">
        <f>RAWDATA!H14</f>
        <v>0</v>
      </c>
      <c r="G16" s="18">
        <f>RAWDATA!I14</f>
        <v>0</v>
      </c>
      <c r="H16" s="19">
        <f>RAWDATA!M14</f>
        <v>0</v>
      </c>
      <c r="I16" s="19">
        <f>RAWDATA!N14</f>
        <v>0</v>
      </c>
      <c r="J16" s="17" t="str">
        <f t="shared" si="0"/>
        <v/>
      </c>
      <c r="K16" s="17" t="str">
        <f>IF(Notenliste!F14="KP","",IF(OR(Notenliste!P14="x", Notenliste!P14="X"), "bestanden",Notenliste!F14))</f>
        <v/>
      </c>
      <c r="L16" s="17">
        <f>Notenliste!E14</f>
        <v>0</v>
      </c>
      <c r="M16" s="17" t="str">
        <f>IF(Notenliste!F14="KP","",Notenliste!Q14)</f>
        <v/>
      </c>
      <c r="N16" s="57"/>
    </row>
    <row r="17" spans="1:14" x14ac:dyDescent="0.25">
      <c r="A17" s="17">
        <v>14</v>
      </c>
      <c r="B17" s="18">
        <f>RAWDATA!B15</f>
        <v>0</v>
      </c>
      <c r="C17" s="18">
        <f>RAWDATA!C15</f>
        <v>0</v>
      </c>
      <c r="D17" s="19">
        <f>RAWDATA!D15</f>
        <v>0</v>
      </c>
      <c r="E17" s="19">
        <f>RAWDATA!E15</f>
        <v>0</v>
      </c>
      <c r="F17" s="18">
        <f>RAWDATA!H15</f>
        <v>0</v>
      </c>
      <c r="G17" s="18">
        <f>RAWDATA!I15</f>
        <v>0</v>
      </c>
      <c r="H17" s="19">
        <f>RAWDATA!M15</f>
        <v>0</v>
      </c>
      <c r="I17" s="19">
        <f>RAWDATA!N15</f>
        <v>0</v>
      </c>
      <c r="J17" s="17" t="str">
        <f t="shared" si="0"/>
        <v/>
      </c>
      <c r="K17" s="17" t="str">
        <f>IF(Notenliste!F15="KP","",IF(OR(Notenliste!P15="x", Notenliste!P15="X"), "bestanden",Notenliste!F15))</f>
        <v/>
      </c>
      <c r="L17" s="17">
        <f>Notenliste!E15</f>
        <v>0</v>
      </c>
      <c r="M17" s="17" t="str">
        <f>IF(Notenliste!F15="KP","",Notenliste!Q15)</f>
        <v/>
      </c>
      <c r="N17" s="57"/>
    </row>
    <row r="18" spans="1:14" x14ac:dyDescent="0.25">
      <c r="A18" s="17">
        <v>15</v>
      </c>
      <c r="B18" s="18">
        <f>RAWDATA!B16</f>
        <v>0</v>
      </c>
      <c r="C18" s="18">
        <f>RAWDATA!C16</f>
        <v>0</v>
      </c>
      <c r="D18" s="19">
        <f>RAWDATA!D16</f>
        <v>0</v>
      </c>
      <c r="E18" s="19">
        <f>RAWDATA!E16</f>
        <v>0</v>
      </c>
      <c r="F18" s="18">
        <f>RAWDATA!H16</f>
        <v>0</v>
      </c>
      <c r="G18" s="18">
        <f>RAWDATA!I16</f>
        <v>0</v>
      </c>
      <c r="H18" s="19">
        <f>RAWDATA!M16</f>
        <v>0</v>
      </c>
      <c r="I18" s="19">
        <f>RAWDATA!N16</f>
        <v>0</v>
      </c>
      <c r="J18" s="17" t="str">
        <f t="shared" si="0"/>
        <v/>
      </c>
      <c r="K18" s="17" t="str">
        <f>IF(Notenliste!F16="KP","",IF(OR(Notenliste!P16="x", Notenliste!P16="X"), "bestanden",Notenliste!F16))</f>
        <v/>
      </c>
      <c r="L18" s="17">
        <f>Notenliste!E16</f>
        <v>0</v>
      </c>
      <c r="M18" s="17" t="str">
        <f>IF(Notenliste!F16="KP","",Notenliste!Q16)</f>
        <v/>
      </c>
      <c r="N18" s="57"/>
    </row>
    <row r="19" spans="1:14" x14ac:dyDescent="0.25">
      <c r="A19" s="17">
        <v>16</v>
      </c>
      <c r="B19" s="18">
        <f>RAWDATA!B17</f>
        <v>0</v>
      </c>
      <c r="C19" s="18">
        <f>RAWDATA!C17</f>
        <v>0</v>
      </c>
      <c r="D19" s="19">
        <f>RAWDATA!D17</f>
        <v>0</v>
      </c>
      <c r="E19" s="19">
        <f>RAWDATA!E17</f>
        <v>0</v>
      </c>
      <c r="F19" s="18">
        <f>RAWDATA!H17</f>
        <v>0</v>
      </c>
      <c r="G19" s="18">
        <f>RAWDATA!I17</f>
        <v>0</v>
      </c>
      <c r="H19" s="19">
        <f>RAWDATA!M17</f>
        <v>0</v>
      </c>
      <c r="I19" s="19">
        <f>RAWDATA!N17</f>
        <v>0</v>
      </c>
      <c r="J19" s="17" t="str">
        <f t="shared" si="0"/>
        <v/>
      </c>
      <c r="K19" s="17" t="str">
        <f>IF(Notenliste!F17="KP","",IF(OR(Notenliste!P17="x", Notenliste!P17="X"), "bestanden",Notenliste!F17))</f>
        <v/>
      </c>
      <c r="L19" s="17">
        <f>Notenliste!E17</f>
        <v>0</v>
      </c>
      <c r="M19" s="17" t="str">
        <f>IF(Notenliste!F17="KP","",Notenliste!Q17)</f>
        <v/>
      </c>
      <c r="N19" s="57"/>
    </row>
    <row r="20" spans="1:14" x14ac:dyDescent="0.25">
      <c r="A20" s="17">
        <v>17</v>
      </c>
      <c r="B20" s="18">
        <f>RAWDATA!B18</f>
        <v>0</v>
      </c>
      <c r="C20" s="18">
        <f>RAWDATA!C18</f>
        <v>0</v>
      </c>
      <c r="D20" s="19">
        <f>RAWDATA!D18</f>
        <v>0</v>
      </c>
      <c r="E20" s="19">
        <f>RAWDATA!E18</f>
        <v>0</v>
      </c>
      <c r="F20" s="18">
        <f>RAWDATA!H18</f>
        <v>0</v>
      </c>
      <c r="G20" s="18">
        <f>RAWDATA!I18</f>
        <v>0</v>
      </c>
      <c r="H20" s="19">
        <f>RAWDATA!M18</f>
        <v>0</v>
      </c>
      <c r="I20" s="19">
        <f>RAWDATA!N18</f>
        <v>0</v>
      </c>
      <c r="J20" s="17" t="str">
        <f t="shared" si="0"/>
        <v/>
      </c>
      <c r="K20" s="17" t="str">
        <f>IF(Notenliste!F18="KP","",IF(OR(Notenliste!P18="x", Notenliste!P18="X"), "bestanden",Notenliste!F18))</f>
        <v/>
      </c>
      <c r="L20" s="17">
        <f>Notenliste!E18</f>
        <v>0</v>
      </c>
      <c r="M20" s="17" t="str">
        <f>IF(Notenliste!F18="KP","",Notenliste!Q18)</f>
        <v/>
      </c>
      <c r="N20" s="57"/>
    </row>
    <row r="21" spans="1:14" x14ac:dyDescent="0.25">
      <c r="A21" s="17">
        <v>18</v>
      </c>
      <c r="B21" s="18">
        <f>RAWDATA!B19</f>
        <v>0</v>
      </c>
      <c r="C21" s="18">
        <f>RAWDATA!C19</f>
        <v>0</v>
      </c>
      <c r="D21" s="19">
        <f>RAWDATA!D19</f>
        <v>0</v>
      </c>
      <c r="E21" s="19">
        <f>RAWDATA!E19</f>
        <v>0</v>
      </c>
      <c r="F21" s="18">
        <f>RAWDATA!H19</f>
        <v>0</v>
      </c>
      <c r="G21" s="18">
        <f>RAWDATA!I19</f>
        <v>0</v>
      </c>
      <c r="H21" s="19">
        <f>RAWDATA!M19</f>
        <v>0</v>
      </c>
      <c r="I21" s="19">
        <f>RAWDATA!N19</f>
        <v>0</v>
      </c>
      <c r="J21" s="17" t="str">
        <f t="shared" si="0"/>
        <v/>
      </c>
      <c r="K21" s="17" t="str">
        <f>IF(Notenliste!F19="KP","",IF(OR(Notenliste!P19="x", Notenliste!P19="X"), "bestanden",Notenliste!F19))</f>
        <v/>
      </c>
      <c r="L21" s="17">
        <f>Notenliste!E19</f>
        <v>0</v>
      </c>
      <c r="M21" s="17" t="str">
        <f>IF(Notenliste!F19="KP","",Notenliste!Q19)</f>
        <v/>
      </c>
      <c r="N21" s="57"/>
    </row>
    <row r="22" spans="1:14" x14ac:dyDescent="0.25">
      <c r="A22" s="17">
        <v>19</v>
      </c>
      <c r="B22" s="18">
        <f>RAWDATA!B20</f>
        <v>0</v>
      </c>
      <c r="C22" s="18">
        <f>RAWDATA!C20</f>
        <v>0</v>
      </c>
      <c r="D22" s="19">
        <f>RAWDATA!D20</f>
        <v>0</v>
      </c>
      <c r="E22" s="19">
        <f>RAWDATA!E20</f>
        <v>0</v>
      </c>
      <c r="F22" s="18">
        <f>RAWDATA!H20</f>
        <v>0</v>
      </c>
      <c r="G22" s="18">
        <f>RAWDATA!I20</f>
        <v>0</v>
      </c>
      <c r="H22" s="19">
        <f>RAWDATA!M20</f>
        <v>0</v>
      </c>
      <c r="I22" s="19">
        <f>RAWDATA!N20</f>
        <v>0</v>
      </c>
      <c r="J22" s="17" t="str">
        <f t="shared" si="0"/>
        <v/>
      </c>
      <c r="K22" s="17" t="str">
        <f>IF(Notenliste!F20="KP","",IF(OR(Notenliste!P20="x", Notenliste!P20="X"), "bestanden",Notenliste!F20))</f>
        <v/>
      </c>
      <c r="L22" s="17">
        <f>Notenliste!E20</f>
        <v>0</v>
      </c>
      <c r="M22" s="17" t="str">
        <f>IF(Notenliste!F20="KP","",Notenliste!Q20)</f>
        <v/>
      </c>
      <c r="N22" s="57"/>
    </row>
    <row r="23" spans="1:14" x14ac:dyDescent="0.25">
      <c r="A23" s="17">
        <v>20</v>
      </c>
      <c r="B23" s="18">
        <f>RAWDATA!B21</f>
        <v>0</v>
      </c>
      <c r="C23" s="18">
        <f>RAWDATA!C21</f>
        <v>0</v>
      </c>
      <c r="D23" s="19">
        <f>RAWDATA!D21</f>
        <v>0</v>
      </c>
      <c r="E23" s="19">
        <f>RAWDATA!E21</f>
        <v>0</v>
      </c>
      <c r="F23" s="18">
        <f>RAWDATA!H21</f>
        <v>0</v>
      </c>
      <c r="G23" s="18">
        <f>RAWDATA!I21</f>
        <v>0</v>
      </c>
      <c r="H23" s="19">
        <f>RAWDATA!M21</f>
        <v>0</v>
      </c>
      <c r="I23" s="19">
        <f>RAWDATA!N21</f>
        <v>0</v>
      </c>
      <c r="J23" s="17" t="str">
        <f t="shared" si="0"/>
        <v/>
      </c>
      <c r="K23" s="17" t="str">
        <f>IF(Notenliste!F21="KP","",IF(OR(Notenliste!P21="x", Notenliste!P21="X"), "bestanden",Notenliste!F21))</f>
        <v/>
      </c>
      <c r="L23" s="17">
        <f>Notenliste!E21</f>
        <v>0</v>
      </c>
      <c r="M23" s="17" t="str">
        <f>IF(Notenliste!F21="KP","",Notenliste!Q21)</f>
        <v/>
      </c>
      <c r="N23" s="57"/>
    </row>
    <row r="24" spans="1:14" x14ac:dyDescent="0.25">
      <c r="A24" s="17">
        <v>21</v>
      </c>
      <c r="B24" s="18">
        <f>RAWDATA!B22</f>
        <v>0</v>
      </c>
      <c r="C24" s="18">
        <f>RAWDATA!C22</f>
        <v>0</v>
      </c>
      <c r="D24" s="19">
        <f>RAWDATA!D22</f>
        <v>0</v>
      </c>
      <c r="E24" s="19">
        <f>RAWDATA!E22</f>
        <v>0</v>
      </c>
      <c r="F24" s="18">
        <f>RAWDATA!H22</f>
        <v>0</v>
      </c>
      <c r="G24" s="18">
        <f>RAWDATA!I22</f>
        <v>0</v>
      </c>
      <c r="H24" s="19">
        <f>RAWDATA!M22</f>
        <v>0</v>
      </c>
      <c r="I24" s="19">
        <f>RAWDATA!N22</f>
        <v>0</v>
      </c>
      <c r="J24" s="17" t="str">
        <f t="shared" si="0"/>
        <v/>
      </c>
      <c r="K24" s="17" t="str">
        <f>IF(Notenliste!F22="KP","",IF(OR(Notenliste!P22="x", Notenliste!P22="X"), "bestanden",Notenliste!F22))</f>
        <v/>
      </c>
      <c r="L24" s="17">
        <f>Notenliste!E22</f>
        <v>0</v>
      </c>
      <c r="M24" s="17" t="str">
        <f>IF(Notenliste!F22="KP","",Notenliste!Q22)</f>
        <v/>
      </c>
      <c r="N24" s="57"/>
    </row>
    <row r="25" spans="1:14" x14ac:dyDescent="0.25">
      <c r="A25" s="17">
        <v>22</v>
      </c>
      <c r="B25" s="18">
        <f>RAWDATA!B23</f>
        <v>0</v>
      </c>
      <c r="C25" s="18">
        <f>RAWDATA!C23</f>
        <v>0</v>
      </c>
      <c r="D25" s="19">
        <f>RAWDATA!D23</f>
        <v>0</v>
      </c>
      <c r="E25" s="19">
        <f>RAWDATA!E23</f>
        <v>0</v>
      </c>
      <c r="F25" s="18">
        <f>RAWDATA!H23</f>
        <v>0</v>
      </c>
      <c r="G25" s="18">
        <f>RAWDATA!I23</f>
        <v>0</v>
      </c>
      <c r="H25" s="19">
        <f>RAWDATA!M23</f>
        <v>0</v>
      </c>
      <c r="I25" s="19">
        <f>RAWDATA!N23</f>
        <v>0</v>
      </c>
      <c r="J25" s="17" t="str">
        <f t="shared" si="0"/>
        <v/>
      </c>
      <c r="K25" s="17" t="str">
        <f>IF(Notenliste!F23="KP","",IF(OR(Notenliste!P23="x", Notenliste!P23="X"), "bestanden",Notenliste!F23))</f>
        <v/>
      </c>
      <c r="L25" s="17">
        <f>Notenliste!E23</f>
        <v>0</v>
      </c>
      <c r="M25" s="17" t="str">
        <f>IF(Notenliste!F23="KP","",Notenliste!Q23)</f>
        <v/>
      </c>
      <c r="N25" s="57"/>
    </row>
    <row r="26" spans="1:14" x14ac:dyDescent="0.25">
      <c r="A26" s="17">
        <v>23</v>
      </c>
      <c r="B26" s="18">
        <f>RAWDATA!B24</f>
        <v>0</v>
      </c>
      <c r="C26" s="18">
        <f>RAWDATA!C24</f>
        <v>0</v>
      </c>
      <c r="D26" s="19">
        <f>RAWDATA!D24</f>
        <v>0</v>
      </c>
      <c r="E26" s="19">
        <f>RAWDATA!E24</f>
        <v>0</v>
      </c>
      <c r="F26" s="18">
        <f>RAWDATA!H24</f>
        <v>0</v>
      </c>
      <c r="G26" s="18">
        <f>RAWDATA!I24</f>
        <v>0</v>
      </c>
      <c r="H26" s="19">
        <f>RAWDATA!M24</f>
        <v>0</v>
      </c>
      <c r="I26" s="19">
        <f>RAWDATA!N24</f>
        <v>0</v>
      </c>
      <c r="J26" s="17" t="str">
        <f t="shared" si="0"/>
        <v/>
      </c>
      <c r="K26" s="17" t="str">
        <f>IF(Notenliste!F24="KP","",IF(OR(Notenliste!P24="x", Notenliste!P24="X"), "bestanden",Notenliste!F24))</f>
        <v/>
      </c>
      <c r="L26" s="17">
        <f>Notenliste!E24</f>
        <v>0</v>
      </c>
      <c r="M26" s="17" t="str">
        <f>IF(Notenliste!F24="KP","",Notenliste!Q24)</f>
        <v/>
      </c>
      <c r="N26" s="57"/>
    </row>
    <row r="27" spans="1:14" x14ac:dyDescent="0.25">
      <c r="A27" s="17">
        <v>24</v>
      </c>
      <c r="B27" s="18">
        <f>RAWDATA!B25</f>
        <v>0</v>
      </c>
      <c r="C27" s="18">
        <f>RAWDATA!C25</f>
        <v>0</v>
      </c>
      <c r="D27" s="19">
        <f>RAWDATA!D25</f>
        <v>0</v>
      </c>
      <c r="E27" s="19">
        <f>RAWDATA!E25</f>
        <v>0</v>
      </c>
      <c r="F27" s="18">
        <f>RAWDATA!H25</f>
        <v>0</v>
      </c>
      <c r="G27" s="18">
        <f>RAWDATA!I25</f>
        <v>0</v>
      </c>
      <c r="H27" s="19">
        <f>RAWDATA!M25</f>
        <v>0</v>
      </c>
      <c r="I27" s="19">
        <f>RAWDATA!N25</f>
        <v>0</v>
      </c>
      <c r="J27" s="17" t="str">
        <f t="shared" si="0"/>
        <v/>
      </c>
      <c r="K27" s="17" t="str">
        <f>IF(Notenliste!F25="KP","",IF(OR(Notenliste!P25="x", Notenliste!P25="X"), "bestanden",Notenliste!F25))</f>
        <v/>
      </c>
      <c r="L27" s="17">
        <f>Notenliste!E25</f>
        <v>0</v>
      </c>
      <c r="M27" s="17" t="str">
        <f>IF(Notenliste!F25="KP","",Notenliste!Q25)</f>
        <v/>
      </c>
      <c r="N27" s="57"/>
    </row>
    <row r="28" spans="1:14" x14ac:dyDescent="0.25">
      <c r="A28" s="17">
        <v>25</v>
      </c>
      <c r="B28" s="18">
        <f>RAWDATA!B26</f>
        <v>0</v>
      </c>
      <c r="C28" s="18">
        <f>RAWDATA!C26</f>
        <v>0</v>
      </c>
      <c r="D28" s="19">
        <f>RAWDATA!D26</f>
        <v>0</v>
      </c>
      <c r="E28" s="19">
        <f>RAWDATA!E26</f>
        <v>0</v>
      </c>
      <c r="F28" s="18">
        <f>RAWDATA!H26</f>
        <v>0</v>
      </c>
      <c r="G28" s="18">
        <f>RAWDATA!I26</f>
        <v>0</v>
      </c>
      <c r="H28" s="19">
        <f>RAWDATA!M26</f>
        <v>0</v>
      </c>
      <c r="I28" s="19">
        <f>RAWDATA!N26</f>
        <v>0</v>
      </c>
      <c r="J28" s="17" t="str">
        <f t="shared" si="0"/>
        <v/>
      </c>
      <c r="K28" s="17" t="str">
        <f>IF(Notenliste!F26="KP","",IF(OR(Notenliste!P26="x", Notenliste!P26="X"), "bestanden",Notenliste!F26))</f>
        <v/>
      </c>
      <c r="L28" s="17">
        <f>Notenliste!E26</f>
        <v>0</v>
      </c>
      <c r="M28" s="17" t="str">
        <f>IF(Notenliste!F26="KP","",Notenliste!Q26)</f>
        <v/>
      </c>
      <c r="N28" s="57"/>
    </row>
    <row r="29" spans="1:14" x14ac:dyDescent="0.25">
      <c r="A29" s="54"/>
      <c r="B29" s="55"/>
      <c r="C29" s="55"/>
      <c r="D29" s="56"/>
      <c r="E29" s="56"/>
      <c r="F29" s="55"/>
      <c r="G29" s="55"/>
      <c r="H29" s="56"/>
      <c r="I29" s="56"/>
      <c r="J29" s="59">
        <f>COUNTIF(J4:J28,"X")</f>
        <v>0</v>
      </c>
      <c r="K29" s="54"/>
      <c r="L29" s="54"/>
      <c r="M29" s="54"/>
      <c r="N29" s="57"/>
    </row>
    <row r="30" spans="1:14" x14ac:dyDescent="0.25">
      <c r="A30" s="92" t="s">
        <v>39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57"/>
    </row>
    <row r="31" spans="1:14" x14ac:dyDescent="0.25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57"/>
    </row>
    <row r="32" spans="1:14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57"/>
    </row>
    <row r="33" spans="1:14" x14ac:dyDescent="0.25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57"/>
    </row>
    <row r="34" spans="1:14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57"/>
    </row>
  </sheetData>
  <sheetProtection sheet="1" formatColumns="0" selectLockedCells="1"/>
  <mergeCells count="4">
    <mergeCell ref="A1:M1"/>
    <mergeCell ref="A2:F2"/>
    <mergeCell ref="G2:M2"/>
    <mergeCell ref="A30:M34"/>
  </mergeCells>
  <pageMargins left="0.70866141732283472" right="0.70866141732283472" top="0.9055118110236221" bottom="1.1023622047244095" header="0.70866141732283472" footer="0.55118110236220474"/>
  <pageSetup paperSize="9" scale="75" orientation="landscape" horizontalDpi="4294967293" r:id="rId1"/>
  <headerFooter>
    <oddHeader>&amp;L&amp;G&amp;R&amp;"Arial Black,Standard"&amp;36SpZ</oddHeader>
    <oddFooter>&amp;C&amp;D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>
    <pageSetUpPr fitToPage="1"/>
  </sheetPr>
  <dimension ref="A1:AE30"/>
  <sheetViews>
    <sheetView showZeros="0" topLeftCell="A4" workbookViewId="0">
      <selection activeCell="G6" sqref="G6"/>
    </sheetView>
  </sheetViews>
  <sheetFormatPr baseColWidth="10" defaultColWidth="0" defaultRowHeight="15" customHeight="1" zeroHeight="1" x14ac:dyDescent="0.25"/>
  <cols>
    <col min="1" max="1" width="3.7109375" style="7" bestFit="1" customWidth="1"/>
    <col min="2" max="2" width="20.42578125" bestFit="1" customWidth="1"/>
    <col min="3" max="3" width="17.42578125" customWidth="1"/>
    <col min="4" max="4" width="6.42578125" style="20" customWidth="1"/>
    <col min="5" max="5" width="9.7109375" style="20" customWidth="1"/>
    <col min="6" max="6" width="0.7109375" style="20" customWidth="1"/>
    <col min="7" max="20" width="4.7109375" style="20" customWidth="1"/>
    <col min="21" max="21" width="0.7109375" style="20" customWidth="1"/>
    <col min="22" max="22" width="5.7109375" style="49" customWidth="1"/>
    <col min="23" max="23" width="5.7109375" style="35" customWidth="1"/>
    <col min="24" max="30" width="0" hidden="1" customWidth="1"/>
    <col min="32" max="16384" width="11.42578125" hidden="1"/>
  </cols>
  <sheetData>
    <row r="1" spans="1:23" ht="19.899999999999999" customHeight="1" x14ac:dyDescent="0.25">
      <c r="A1" s="96" t="str">
        <f>Notenliste!B34&amp;Notenliste!B35</f>
        <v>course.namecourse.alternative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ht="19.899999999999999" customHeight="1" x14ac:dyDescent="0.25">
      <c r="A2" s="96" t="s">
        <v>37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1:23" ht="15" customHeight="1" x14ac:dyDescent="0.25">
      <c r="A3" s="97" t="str">
        <f>"Dozent/in: "&amp;Notenliste!B31</f>
        <v>Dozent/in: course.teacher_name</v>
      </c>
      <c r="B3" s="97"/>
      <c r="C3" s="97"/>
      <c r="D3" s="97"/>
      <c r="E3" s="97"/>
      <c r="F3" s="40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s="16" customFormat="1" ht="40.5" customHeight="1" x14ac:dyDescent="0.25">
      <c r="A4" s="93" t="s">
        <v>24</v>
      </c>
      <c r="B4" s="93" t="s">
        <v>17</v>
      </c>
      <c r="C4" s="93" t="s">
        <v>18</v>
      </c>
      <c r="D4" s="93" t="s">
        <v>31</v>
      </c>
      <c r="E4" s="100" t="s">
        <v>27</v>
      </c>
      <c r="F4" s="45"/>
      <c r="G4" s="39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42"/>
      <c r="V4" s="98" t="s">
        <v>33</v>
      </c>
      <c r="W4" s="98" t="s">
        <v>38</v>
      </c>
    </row>
    <row r="5" spans="1:23" s="16" customFormat="1" x14ac:dyDescent="0.25">
      <c r="A5" s="94"/>
      <c r="B5" s="94"/>
      <c r="C5" s="94"/>
      <c r="D5" s="94"/>
      <c r="E5" s="101"/>
      <c r="F5" s="46"/>
      <c r="G5" s="39">
        <v>1</v>
      </c>
      <c r="H5" s="14">
        <v>2</v>
      </c>
      <c r="I5" s="14">
        <v>3</v>
      </c>
      <c r="J5" s="14">
        <v>4</v>
      </c>
      <c r="K5" s="14">
        <v>5</v>
      </c>
      <c r="L5" s="14">
        <v>6</v>
      </c>
      <c r="M5" s="14">
        <v>7</v>
      </c>
      <c r="N5" s="14">
        <v>8</v>
      </c>
      <c r="O5" s="14">
        <v>9</v>
      </c>
      <c r="P5" s="14">
        <v>10</v>
      </c>
      <c r="Q5" s="14">
        <v>11</v>
      </c>
      <c r="R5" s="14">
        <v>12</v>
      </c>
      <c r="S5" s="14">
        <v>13</v>
      </c>
      <c r="T5" s="14">
        <v>14</v>
      </c>
      <c r="U5" s="41"/>
      <c r="V5" s="99"/>
      <c r="W5" s="99"/>
    </row>
    <row r="6" spans="1:23" x14ac:dyDescent="0.25">
      <c r="A6" s="17">
        <v>1</v>
      </c>
      <c r="B6" s="18" t="str">
        <f>RAWDATA!B2</f>
        <v>applicant.last_name</v>
      </c>
      <c r="C6" s="18" t="str">
        <f>RAWDATA!C2</f>
        <v>applicant.first_name</v>
      </c>
      <c r="D6" s="19" t="str">
        <f>RAWDATA!D2</f>
        <v>applicant.origin.short_name</v>
      </c>
      <c r="E6" s="19" t="str">
        <f>RAWDATA!E2</f>
        <v>applicant.tag</v>
      </c>
      <c r="F6" s="44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4"/>
      <c r="V6" s="48"/>
      <c r="W6" s="48"/>
    </row>
    <row r="7" spans="1:23" x14ac:dyDescent="0.25">
      <c r="A7" s="17">
        <v>2</v>
      </c>
      <c r="B7" s="18">
        <f>RAWDATA!B3</f>
        <v>0</v>
      </c>
      <c r="C7" s="18">
        <f>RAWDATA!C3</f>
        <v>0</v>
      </c>
      <c r="D7" s="19">
        <f>RAWDATA!D3</f>
        <v>0</v>
      </c>
      <c r="E7" s="19">
        <f>RAWDATA!E3</f>
        <v>0</v>
      </c>
      <c r="F7" s="38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38"/>
      <c r="V7" s="48"/>
      <c r="W7" s="48"/>
    </row>
    <row r="8" spans="1:23" x14ac:dyDescent="0.25">
      <c r="A8" s="17">
        <v>3</v>
      </c>
      <c r="B8" s="18">
        <f>RAWDATA!B4</f>
        <v>0</v>
      </c>
      <c r="C8" s="18">
        <f>RAWDATA!C4</f>
        <v>0</v>
      </c>
      <c r="D8" s="19">
        <f>RAWDATA!D4</f>
        <v>0</v>
      </c>
      <c r="E8" s="19">
        <f>RAWDATA!E4</f>
        <v>0</v>
      </c>
      <c r="F8" s="38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38"/>
      <c r="V8" s="48"/>
      <c r="W8" s="48"/>
    </row>
    <row r="9" spans="1:23" x14ac:dyDescent="0.25">
      <c r="A9" s="17">
        <v>4</v>
      </c>
      <c r="B9" s="18">
        <f>RAWDATA!B5</f>
        <v>0</v>
      </c>
      <c r="C9" s="18">
        <f>RAWDATA!C5</f>
        <v>0</v>
      </c>
      <c r="D9" s="19">
        <f>RAWDATA!D5</f>
        <v>0</v>
      </c>
      <c r="E9" s="19">
        <f>RAWDATA!E5</f>
        <v>0</v>
      </c>
      <c r="F9" s="38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38"/>
      <c r="V9" s="48"/>
      <c r="W9" s="48"/>
    </row>
    <row r="10" spans="1:23" x14ac:dyDescent="0.25">
      <c r="A10" s="17">
        <v>5</v>
      </c>
      <c r="B10" s="18">
        <f>RAWDATA!B6</f>
        <v>0</v>
      </c>
      <c r="C10" s="18">
        <f>RAWDATA!C6</f>
        <v>0</v>
      </c>
      <c r="D10" s="19">
        <f>RAWDATA!D6</f>
        <v>0</v>
      </c>
      <c r="E10" s="19">
        <f>RAWDATA!E6</f>
        <v>0</v>
      </c>
      <c r="F10" s="38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38"/>
      <c r="V10" s="48"/>
      <c r="W10" s="48"/>
    </row>
    <row r="11" spans="1:23" x14ac:dyDescent="0.25">
      <c r="A11" s="17">
        <v>6</v>
      </c>
      <c r="B11" s="18">
        <f>RAWDATA!B7</f>
        <v>0</v>
      </c>
      <c r="C11" s="18">
        <f>RAWDATA!C7</f>
        <v>0</v>
      </c>
      <c r="D11" s="19">
        <f>RAWDATA!D7</f>
        <v>0</v>
      </c>
      <c r="E11" s="19">
        <f>RAWDATA!E7</f>
        <v>0</v>
      </c>
      <c r="F11" s="38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38"/>
      <c r="V11" s="48"/>
      <c r="W11" s="48"/>
    </row>
    <row r="12" spans="1:23" x14ac:dyDescent="0.25">
      <c r="A12" s="17">
        <v>7</v>
      </c>
      <c r="B12" s="18">
        <f>RAWDATA!B8</f>
        <v>0</v>
      </c>
      <c r="C12" s="18">
        <f>RAWDATA!C8</f>
        <v>0</v>
      </c>
      <c r="D12" s="19">
        <f>RAWDATA!D8</f>
        <v>0</v>
      </c>
      <c r="E12" s="19">
        <f>RAWDATA!E8</f>
        <v>0</v>
      </c>
      <c r="F12" s="38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38"/>
      <c r="V12" s="48"/>
      <c r="W12" s="48"/>
    </row>
    <row r="13" spans="1:23" x14ac:dyDescent="0.25">
      <c r="A13" s="17">
        <v>8</v>
      </c>
      <c r="B13" s="18">
        <f>RAWDATA!B9</f>
        <v>0</v>
      </c>
      <c r="C13" s="18">
        <f>RAWDATA!C9</f>
        <v>0</v>
      </c>
      <c r="D13" s="19">
        <f>RAWDATA!D9</f>
        <v>0</v>
      </c>
      <c r="E13" s="19">
        <f>RAWDATA!E9</f>
        <v>0</v>
      </c>
      <c r="F13" s="38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38"/>
      <c r="V13" s="48"/>
      <c r="W13" s="48"/>
    </row>
    <row r="14" spans="1:23" x14ac:dyDescent="0.25">
      <c r="A14" s="17">
        <v>9</v>
      </c>
      <c r="B14" s="18">
        <f>RAWDATA!B10</f>
        <v>0</v>
      </c>
      <c r="C14" s="18">
        <f>RAWDATA!C10</f>
        <v>0</v>
      </c>
      <c r="D14" s="19">
        <f>RAWDATA!D10</f>
        <v>0</v>
      </c>
      <c r="E14" s="19">
        <f>RAWDATA!E10</f>
        <v>0</v>
      </c>
      <c r="F14" s="38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38"/>
      <c r="V14" s="48"/>
      <c r="W14" s="48"/>
    </row>
    <row r="15" spans="1:23" x14ac:dyDescent="0.25">
      <c r="A15" s="17">
        <v>10</v>
      </c>
      <c r="B15" s="18">
        <f>RAWDATA!B11</f>
        <v>0</v>
      </c>
      <c r="C15" s="18">
        <f>RAWDATA!C11</f>
        <v>0</v>
      </c>
      <c r="D15" s="19">
        <f>RAWDATA!D11</f>
        <v>0</v>
      </c>
      <c r="E15" s="19">
        <f>RAWDATA!E11</f>
        <v>0</v>
      </c>
      <c r="F15" s="38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38"/>
      <c r="V15" s="48"/>
      <c r="W15" s="48"/>
    </row>
    <row r="16" spans="1:23" x14ac:dyDescent="0.25">
      <c r="A16" s="17">
        <v>11</v>
      </c>
      <c r="B16" s="18">
        <f>RAWDATA!B12</f>
        <v>0</v>
      </c>
      <c r="C16" s="18">
        <f>RAWDATA!C12</f>
        <v>0</v>
      </c>
      <c r="D16" s="19">
        <f>RAWDATA!D12</f>
        <v>0</v>
      </c>
      <c r="E16" s="19">
        <f>RAWDATA!E12</f>
        <v>0</v>
      </c>
      <c r="F16" s="3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38"/>
      <c r="V16" s="48"/>
      <c r="W16" s="48"/>
    </row>
    <row r="17" spans="1:23" x14ac:dyDescent="0.25">
      <c r="A17" s="17">
        <v>12</v>
      </c>
      <c r="B17" s="18">
        <f>RAWDATA!B13</f>
        <v>0</v>
      </c>
      <c r="C17" s="18">
        <f>RAWDATA!C13</f>
        <v>0</v>
      </c>
      <c r="D17" s="19">
        <f>RAWDATA!D13</f>
        <v>0</v>
      </c>
      <c r="E17" s="19">
        <f>RAWDATA!E13</f>
        <v>0</v>
      </c>
      <c r="F17" s="38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38"/>
      <c r="V17" s="48"/>
      <c r="W17" s="48"/>
    </row>
    <row r="18" spans="1:23" x14ac:dyDescent="0.25">
      <c r="A18" s="17">
        <v>13</v>
      </c>
      <c r="B18" s="18">
        <f>RAWDATA!B14</f>
        <v>0</v>
      </c>
      <c r="C18" s="18">
        <f>RAWDATA!C14</f>
        <v>0</v>
      </c>
      <c r="D18" s="19">
        <f>RAWDATA!D14</f>
        <v>0</v>
      </c>
      <c r="E18" s="19">
        <f>RAWDATA!E14</f>
        <v>0</v>
      </c>
      <c r="F18" s="38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38"/>
      <c r="V18" s="48"/>
      <c r="W18" s="48"/>
    </row>
    <row r="19" spans="1:23" x14ac:dyDescent="0.25">
      <c r="A19" s="17">
        <v>14</v>
      </c>
      <c r="B19" s="18">
        <f>RAWDATA!B15</f>
        <v>0</v>
      </c>
      <c r="C19" s="18">
        <f>RAWDATA!C15</f>
        <v>0</v>
      </c>
      <c r="D19" s="19">
        <f>RAWDATA!D15</f>
        <v>0</v>
      </c>
      <c r="E19" s="19">
        <f>RAWDATA!E15</f>
        <v>0</v>
      </c>
      <c r="F19" s="3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38"/>
      <c r="V19" s="48"/>
      <c r="W19" s="48"/>
    </row>
    <row r="20" spans="1:23" x14ac:dyDescent="0.25">
      <c r="A20" s="17">
        <v>15</v>
      </c>
      <c r="B20" s="18">
        <f>RAWDATA!B16</f>
        <v>0</v>
      </c>
      <c r="C20" s="18">
        <f>RAWDATA!C16</f>
        <v>0</v>
      </c>
      <c r="D20" s="19">
        <f>RAWDATA!D16</f>
        <v>0</v>
      </c>
      <c r="E20" s="19">
        <f>RAWDATA!E16</f>
        <v>0</v>
      </c>
      <c r="F20" s="38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38"/>
      <c r="V20" s="48"/>
      <c r="W20" s="48"/>
    </row>
    <row r="21" spans="1:23" x14ac:dyDescent="0.25">
      <c r="A21" s="17">
        <v>16</v>
      </c>
      <c r="B21" s="18">
        <f>RAWDATA!B17</f>
        <v>0</v>
      </c>
      <c r="C21" s="18">
        <f>RAWDATA!C17</f>
        <v>0</v>
      </c>
      <c r="D21" s="19">
        <f>RAWDATA!D17</f>
        <v>0</v>
      </c>
      <c r="E21" s="19">
        <f>RAWDATA!E17</f>
        <v>0</v>
      </c>
      <c r="F21" s="38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38"/>
      <c r="V21" s="48"/>
      <c r="W21" s="48"/>
    </row>
    <row r="22" spans="1:23" x14ac:dyDescent="0.25">
      <c r="A22" s="17">
        <v>17</v>
      </c>
      <c r="B22" s="18">
        <f>RAWDATA!B18</f>
        <v>0</v>
      </c>
      <c r="C22" s="18">
        <f>RAWDATA!C18</f>
        <v>0</v>
      </c>
      <c r="D22" s="19">
        <f>RAWDATA!D18</f>
        <v>0</v>
      </c>
      <c r="E22" s="19">
        <f>RAWDATA!E18</f>
        <v>0</v>
      </c>
      <c r="F22" s="38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38"/>
      <c r="V22" s="48"/>
      <c r="W22" s="48"/>
    </row>
    <row r="23" spans="1:23" x14ac:dyDescent="0.25">
      <c r="A23" s="17">
        <v>18</v>
      </c>
      <c r="B23" s="18">
        <f>RAWDATA!B19</f>
        <v>0</v>
      </c>
      <c r="C23" s="18">
        <f>RAWDATA!C19</f>
        <v>0</v>
      </c>
      <c r="D23" s="19">
        <f>RAWDATA!D19</f>
        <v>0</v>
      </c>
      <c r="E23" s="19">
        <f>RAWDATA!E19</f>
        <v>0</v>
      </c>
      <c r="F23" s="38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38"/>
      <c r="V23" s="48"/>
      <c r="W23" s="48"/>
    </row>
    <row r="24" spans="1:23" x14ac:dyDescent="0.25">
      <c r="A24" s="17">
        <v>19</v>
      </c>
      <c r="B24" s="18">
        <f>RAWDATA!B20</f>
        <v>0</v>
      </c>
      <c r="C24" s="18">
        <f>RAWDATA!C20</f>
        <v>0</v>
      </c>
      <c r="D24" s="19">
        <f>RAWDATA!D20</f>
        <v>0</v>
      </c>
      <c r="E24" s="19">
        <f>RAWDATA!E20</f>
        <v>0</v>
      </c>
      <c r="F24" s="38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38"/>
      <c r="V24" s="48"/>
      <c r="W24" s="48"/>
    </row>
    <row r="25" spans="1:23" x14ac:dyDescent="0.25">
      <c r="A25" s="17">
        <v>20</v>
      </c>
      <c r="B25" s="18">
        <f>RAWDATA!B21</f>
        <v>0</v>
      </c>
      <c r="C25" s="18">
        <f>RAWDATA!C21</f>
        <v>0</v>
      </c>
      <c r="D25" s="19">
        <f>RAWDATA!D21</f>
        <v>0</v>
      </c>
      <c r="E25" s="19">
        <f>RAWDATA!E21</f>
        <v>0</v>
      </c>
      <c r="F25" s="38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38"/>
      <c r="V25" s="48"/>
      <c r="W25" s="48"/>
    </row>
    <row r="26" spans="1:23" x14ac:dyDescent="0.25">
      <c r="A26" s="17">
        <v>21</v>
      </c>
      <c r="B26" s="18">
        <f>RAWDATA!B22</f>
        <v>0</v>
      </c>
      <c r="C26" s="18">
        <f>RAWDATA!C22</f>
        <v>0</v>
      </c>
      <c r="D26" s="19">
        <f>RAWDATA!D22</f>
        <v>0</v>
      </c>
      <c r="E26" s="19">
        <f>RAWDATA!E22</f>
        <v>0</v>
      </c>
      <c r="F26" s="38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38"/>
      <c r="V26" s="48"/>
      <c r="W26" s="48"/>
    </row>
    <row r="27" spans="1:23" x14ac:dyDescent="0.25">
      <c r="A27" s="17">
        <v>22</v>
      </c>
      <c r="B27" s="18">
        <f>RAWDATA!B23</f>
        <v>0</v>
      </c>
      <c r="C27" s="18">
        <f>RAWDATA!C23</f>
        <v>0</v>
      </c>
      <c r="D27" s="19">
        <f>RAWDATA!D23</f>
        <v>0</v>
      </c>
      <c r="E27" s="19">
        <f>RAWDATA!E23</f>
        <v>0</v>
      </c>
      <c r="F27" s="38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38"/>
      <c r="V27" s="48"/>
      <c r="W27" s="48"/>
    </row>
    <row r="28" spans="1:23" x14ac:dyDescent="0.25">
      <c r="A28" s="17">
        <v>23</v>
      </c>
      <c r="B28" s="18">
        <f>RAWDATA!B24</f>
        <v>0</v>
      </c>
      <c r="C28" s="18">
        <f>RAWDATA!C24</f>
        <v>0</v>
      </c>
      <c r="D28" s="19">
        <f>RAWDATA!D24</f>
        <v>0</v>
      </c>
      <c r="E28" s="19">
        <f>RAWDATA!E24</f>
        <v>0</v>
      </c>
      <c r="F28" s="38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38"/>
      <c r="V28" s="48"/>
      <c r="W28" s="48"/>
    </row>
    <row r="29" spans="1:23" x14ac:dyDescent="0.25">
      <c r="A29" s="17">
        <v>24</v>
      </c>
      <c r="B29" s="18">
        <f>RAWDATA!B25</f>
        <v>0</v>
      </c>
      <c r="C29" s="18">
        <f>RAWDATA!C25</f>
        <v>0</v>
      </c>
      <c r="D29" s="19">
        <f>RAWDATA!D25</f>
        <v>0</v>
      </c>
      <c r="E29" s="19">
        <f>RAWDATA!E25</f>
        <v>0</v>
      </c>
      <c r="F29" s="38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38"/>
      <c r="V29" s="48"/>
      <c r="W29" s="48"/>
    </row>
    <row r="30" spans="1:23" x14ac:dyDescent="0.25">
      <c r="A30" s="17">
        <v>25</v>
      </c>
      <c r="B30" s="18">
        <f>RAWDATA!B26</f>
        <v>0</v>
      </c>
      <c r="C30" s="18">
        <f>RAWDATA!C26</f>
        <v>0</v>
      </c>
      <c r="D30" s="19">
        <f>RAWDATA!D26</f>
        <v>0</v>
      </c>
      <c r="E30" s="19">
        <f>RAWDATA!E26</f>
        <v>0</v>
      </c>
      <c r="F30" s="43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3"/>
      <c r="V30" s="48"/>
      <c r="W30" s="48"/>
    </row>
  </sheetData>
  <sheetProtection sheet="1" objects="1" scenarios="1" formatColumns="0" selectLockedCells="1"/>
  <mergeCells count="11">
    <mergeCell ref="A4:A5"/>
    <mergeCell ref="G3:W3"/>
    <mergeCell ref="A1:W1"/>
    <mergeCell ref="A2:W2"/>
    <mergeCell ref="A3:E3"/>
    <mergeCell ref="V4:V5"/>
    <mergeCell ref="W4:W5"/>
    <mergeCell ref="E4:E5"/>
    <mergeCell ref="D4:D5"/>
    <mergeCell ref="C4:C5"/>
    <mergeCell ref="B4:B5"/>
  </mergeCells>
  <pageMargins left="0.70866141732283472" right="0.70866141732283472" top="1.299212598425197" bottom="1.1023622047244095" header="0.70866141732283472" footer="0.55118110236220474"/>
  <pageSetup paperSize="9" scale="89" orientation="landscape" horizontalDpi="4294967293" verticalDpi="0" r:id="rId1"/>
  <headerFooter>
    <oddHeader>&amp;L&amp;G&amp;R&amp;"Arial Black,Standard"&amp;36SpZ</oddHeader>
    <oddFooter>&amp;C&amp;D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H26"/>
  <sheetViews>
    <sheetView workbookViewId="0">
      <selection activeCell="D2" sqref="D2"/>
    </sheetView>
  </sheetViews>
  <sheetFormatPr baseColWidth="10" defaultColWidth="11.5703125" defaultRowHeight="15" x14ac:dyDescent="0.25"/>
  <cols>
    <col min="1" max="1" width="18" style="13" customWidth="1"/>
    <col min="2" max="2" width="12.7109375" customWidth="1"/>
    <col min="4" max="4" width="15.42578125" style="61" customWidth="1"/>
    <col min="5" max="5" width="18.140625" style="60" customWidth="1"/>
    <col min="6" max="7" width="19.7109375" customWidth="1"/>
    <col min="8" max="8" width="46.42578125" customWidth="1"/>
  </cols>
  <sheetData>
    <row r="1" spans="1:8" x14ac:dyDescent="0.25">
      <c r="A1" s="13" t="s">
        <v>25</v>
      </c>
      <c r="B1" t="s">
        <v>43</v>
      </c>
      <c r="C1" t="s">
        <v>44</v>
      </c>
      <c r="D1" s="62" t="s">
        <v>5</v>
      </c>
      <c r="E1" s="60" t="s">
        <v>45</v>
      </c>
      <c r="F1" t="s">
        <v>46</v>
      </c>
      <c r="G1" t="s">
        <v>47</v>
      </c>
      <c r="H1" t="s">
        <v>48</v>
      </c>
    </row>
    <row r="2" spans="1:8" x14ac:dyDescent="0.25">
      <c r="A2" s="13" t="str">
        <f>IF(Notenliste!D2=0," ",Notenliste!D2)</f>
        <v>applicant.tag</v>
      </c>
      <c r="C2" t="str">
        <f>IF(Notenliste!D2&lt;&gt;0,IF(Notenliste!Q2&lt;&gt;0,Notenliste!Q2,Notenliste!$B$33)," ")</f>
        <v>attendance.ects_points</v>
      </c>
      <c r="D2" s="64" t="e">
        <f>IF(Notenliste!D2=0," ",IF(Notenliste!F2="KP"," ",IF(Notenliste!F2="NB","nicht bestanden",IF(OR(Notenliste!P2="x", Notenliste!P2="X"),"bestanden",Notenliste!F2))))</f>
        <v>#VALUE!</v>
      </c>
      <c r="E2" s="60" t="str">
        <f>IF(Notenliste!D2&lt;&gt;0,Notenliste!$B$37," ")</f>
        <v>exam_date</v>
      </c>
    </row>
    <row r="3" spans="1:8" x14ac:dyDescent="0.25">
      <c r="A3" s="13" t="str">
        <f>IF(Notenliste!D3=0," ",Notenliste!D3)</f>
        <v xml:space="preserve"> </v>
      </c>
      <c r="C3" t="str">
        <f>IF(Notenliste!D3&lt;&gt;0,IF(Notenliste!Q3&lt;&gt;0,Notenliste!Q3,Notenliste!$B$33)," ")</f>
        <v xml:space="preserve"> </v>
      </c>
      <c r="D3" s="64" t="str">
        <f>IF(Notenliste!D3=0," ",IF(Notenliste!F3="KP"," ",IF(Notenliste!F3="NB","nicht bestanden",IF(OR(Notenliste!P3="x", Notenliste!P3="X"),"bestanden",Notenliste!F3))))</f>
        <v xml:space="preserve"> </v>
      </c>
      <c r="E3" s="60" t="str">
        <f>IF(Notenliste!D3&lt;&gt;0,Notenliste!$B$37," ")</f>
        <v xml:space="preserve"> </v>
      </c>
    </row>
    <row r="4" spans="1:8" x14ac:dyDescent="0.25">
      <c r="A4" s="13" t="str">
        <f>IF(Notenliste!D4=0," ",Notenliste!D4)</f>
        <v xml:space="preserve"> </v>
      </c>
      <c r="C4" t="str">
        <f>IF(Notenliste!D4&lt;&gt;0,IF(Notenliste!Q4&lt;&gt;0,Notenliste!Q4,Notenliste!$B$33)," ")</f>
        <v xml:space="preserve"> </v>
      </c>
      <c r="D4" s="64" t="str">
        <f>IF(Notenliste!D4=0," ",IF(Notenliste!F4="KP"," ",IF(Notenliste!F4="NB","nicht bestanden",IF(OR(Notenliste!P4="x", Notenliste!P4="X"),"bestanden",Notenliste!F4))))</f>
        <v xml:space="preserve"> </v>
      </c>
      <c r="E4" s="60" t="str">
        <f>IF(Notenliste!D4&lt;&gt;0,Notenliste!$B$37," ")</f>
        <v xml:space="preserve"> </v>
      </c>
    </row>
    <row r="5" spans="1:8" x14ac:dyDescent="0.25">
      <c r="A5" s="13" t="str">
        <f>IF(Notenliste!D5=0," ",Notenliste!D5)</f>
        <v xml:space="preserve"> </v>
      </c>
      <c r="C5" t="str">
        <f>IF(Notenliste!D5&lt;&gt;0,IF(Notenliste!Q5&lt;&gt;0,Notenliste!Q5,Notenliste!$B$33)," ")</f>
        <v xml:space="preserve"> </v>
      </c>
      <c r="D5" s="64" t="str">
        <f>IF(Notenliste!D5=0," ",IF(Notenliste!F5="KP"," ",IF(Notenliste!F5="NB","nicht bestanden",IF(OR(Notenliste!P5="x", Notenliste!P5="X"),"bestanden",Notenliste!F5))))</f>
        <v xml:space="preserve"> </v>
      </c>
      <c r="E5" s="60" t="str">
        <f>IF(Notenliste!D5&lt;&gt;0,Notenliste!$B$37," ")</f>
        <v xml:space="preserve"> </v>
      </c>
    </row>
    <row r="6" spans="1:8" x14ac:dyDescent="0.25">
      <c r="A6" s="13" t="str">
        <f>IF(Notenliste!D6=0," ",Notenliste!D6)</f>
        <v xml:space="preserve"> </v>
      </c>
      <c r="C6" t="str">
        <f>IF(Notenliste!D6&lt;&gt;0,IF(Notenliste!Q6&lt;&gt;0,Notenliste!Q6,Notenliste!$B$33)," ")</f>
        <v xml:space="preserve"> </v>
      </c>
      <c r="D6" s="64" t="str">
        <f>IF(Notenliste!D6=0," ",IF(Notenliste!F6="KP"," ",IF(Notenliste!F6="NB","nicht bestanden",IF(OR(Notenliste!P6="x", Notenliste!P6="X"),"bestanden",Notenliste!F6))))</f>
        <v xml:space="preserve"> </v>
      </c>
      <c r="E6" s="60" t="str">
        <f>IF(Notenliste!D6&lt;&gt;0,Notenliste!$B$37," ")</f>
        <v xml:space="preserve"> </v>
      </c>
    </row>
    <row r="7" spans="1:8" x14ac:dyDescent="0.25">
      <c r="A7" s="13" t="str">
        <f>IF(Notenliste!D7=0," ",Notenliste!D7)</f>
        <v xml:space="preserve"> </v>
      </c>
      <c r="C7" t="str">
        <f>IF(Notenliste!D7&lt;&gt;0,IF(Notenliste!Q7&lt;&gt;0,Notenliste!Q7,Notenliste!$B$33)," ")</f>
        <v xml:space="preserve"> </v>
      </c>
      <c r="D7" s="64" t="str">
        <f>IF(Notenliste!D7=0," ",IF(Notenliste!F7="KP"," ",IF(Notenliste!F7="NB","nicht bestanden",IF(OR(Notenliste!P7="x", Notenliste!P7="X"),"bestanden",Notenliste!F7))))</f>
        <v xml:space="preserve"> </v>
      </c>
      <c r="E7" s="60" t="str">
        <f>IF(Notenliste!D7&lt;&gt;0,Notenliste!$B$37," ")</f>
        <v xml:space="preserve"> </v>
      </c>
    </row>
    <row r="8" spans="1:8" x14ac:dyDescent="0.25">
      <c r="A8" s="13" t="str">
        <f>IF(Notenliste!D8=0," ",Notenliste!D8)</f>
        <v xml:space="preserve"> </v>
      </c>
      <c r="C8" t="str">
        <f>IF(Notenliste!D8&lt;&gt;0,IF(Notenliste!Q8&lt;&gt;0,Notenliste!Q8,Notenliste!$B$33)," ")</f>
        <v xml:space="preserve"> </v>
      </c>
      <c r="D8" s="64" t="str">
        <f>IF(Notenliste!D8=0," ",IF(Notenliste!F8="KP"," ",IF(Notenliste!F8="NB","nicht bestanden",IF(OR(Notenliste!P8="x", Notenliste!P8="X"),"bestanden",Notenliste!F8))))</f>
        <v xml:space="preserve"> </v>
      </c>
      <c r="E8" s="60" t="str">
        <f>IF(Notenliste!D8&lt;&gt;0,Notenliste!$B$37," ")</f>
        <v xml:space="preserve"> </v>
      </c>
    </row>
    <row r="9" spans="1:8" x14ac:dyDescent="0.25">
      <c r="A9" s="13" t="str">
        <f>IF(Notenliste!D9=0," ",Notenliste!D9)</f>
        <v xml:space="preserve"> </v>
      </c>
      <c r="C9" t="str">
        <f>IF(Notenliste!D9&lt;&gt;0,IF(Notenliste!Q9&lt;&gt;0,Notenliste!Q9,Notenliste!$B$33)," ")</f>
        <v xml:space="preserve"> </v>
      </c>
      <c r="D9" s="64" t="str">
        <f>IF(Notenliste!D9=0," ",IF(Notenliste!F9="KP"," ",IF(Notenliste!F9="NB","nicht bestanden",IF(OR(Notenliste!P9="x", Notenliste!P9="X"),"bestanden",Notenliste!F9))))</f>
        <v xml:space="preserve"> </v>
      </c>
      <c r="E9" s="60" t="str">
        <f>IF(Notenliste!D9&lt;&gt;0,Notenliste!$B$37," ")</f>
        <v xml:space="preserve"> </v>
      </c>
    </row>
    <row r="10" spans="1:8" x14ac:dyDescent="0.25">
      <c r="A10" s="13" t="str">
        <f>IF(Notenliste!D10=0," ",Notenliste!D10)</f>
        <v xml:space="preserve"> </v>
      </c>
      <c r="C10" t="str">
        <f>IF(Notenliste!D10&lt;&gt;0,IF(Notenliste!Q10&lt;&gt;0,Notenliste!Q10,Notenliste!$B$33)," ")</f>
        <v xml:space="preserve"> </v>
      </c>
      <c r="D10" s="64" t="str">
        <f>IF(Notenliste!D10=0," ",IF(Notenliste!F10="KP"," ",IF(Notenliste!F10="NB","nicht bestanden",IF(OR(Notenliste!P10="x", Notenliste!P10="X"),"bestanden",Notenliste!F10))))</f>
        <v xml:space="preserve"> </v>
      </c>
      <c r="E10" s="60" t="str">
        <f>IF(Notenliste!D10&lt;&gt;0,Notenliste!$B$37," ")</f>
        <v xml:space="preserve"> </v>
      </c>
    </row>
    <row r="11" spans="1:8" x14ac:dyDescent="0.25">
      <c r="A11" s="13" t="str">
        <f>IF(Notenliste!D11=0," ",Notenliste!D11)</f>
        <v xml:space="preserve"> </v>
      </c>
      <c r="C11" t="str">
        <f>IF(Notenliste!D11&lt;&gt;0,IF(Notenliste!Q11&lt;&gt;0,Notenliste!Q11,Notenliste!$B$33)," ")</f>
        <v xml:space="preserve"> </v>
      </c>
      <c r="D11" s="64" t="str">
        <f>IF(Notenliste!D11=0," ",IF(Notenliste!F11="KP"," ",IF(Notenliste!F11="NB","nicht bestanden",IF(OR(Notenliste!P11="x", Notenliste!P11="X"),"bestanden",Notenliste!F11))))</f>
        <v xml:space="preserve"> </v>
      </c>
      <c r="E11" s="60" t="str">
        <f>IF(Notenliste!D11&lt;&gt;0,Notenliste!$B$37," ")</f>
        <v xml:space="preserve"> </v>
      </c>
    </row>
    <row r="12" spans="1:8" x14ac:dyDescent="0.25">
      <c r="A12" s="13" t="str">
        <f>IF(Notenliste!D12=0," ",Notenliste!D12)</f>
        <v xml:space="preserve"> </v>
      </c>
      <c r="C12" t="str">
        <f>IF(Notenliste!D12&lt;&gt;0,IF(Notenliste!Q12&lt;&gt;0,Notenliste!Q12,Notenliste!$B$33)," ")</f>
        <v xml:space="preserve"> </v>
      </c>
      <c r="D12" s="64" t="str">
        <f>IF(Notenliste!D12=0," ",IF(Notenliste!F12="KP"," ",IF(Notenliste!F12="NB","nicht bestanden",IF(OR(Notenliste!P12="x", Notenliste!P12="X"),"bestanden",Notenliste!F12))))</f>
        <v xml:space="preserve"> </v>
      </c>
      <c r="E12" s="60" t="str">
        <f>IF(Notenliste!D12&lt;&gt;0,Notenliste!$B$37," ")</f>
        <v xml:space="preserve"> </v>
      </c>
    </row>
    <row r="13" spans="1:8" x14ac:dyDescent="0.25">
      <c r="A13" s="13" t="str">
        <f>IF(Notenliste!D13=0," ",Notenliste!D13)</f>
        <v xml:space="preserve"> </v>
      </c>
      <c r="C13" t="str">
        <f>IF(Notenliste!D13&lt;&gt;0,IF(Notenliste!Q13&lt;&gt;0,Notenliste!Q13,Notenliste!$B$33)," ")</f>
        <v xml:space="preserve"> </v>
      </c>
      <c r="D13" s="64" t="str">
        <f>IF(Notenliste!D13=0," ",IF(Notenliste!F13="KP"," ",IF(Notenliste!F13="NB","nicht bestanden",IF(OR(Notenliste!P13="x", Notenliste!P13="X"),"bestanden",Notenliste!F13))))</f>
        <v xml:space="preserve"> </v>
      </c>
      <c r="E13" s="60" t="str">
        <f>IF(Notenliste!D13&lt;&gt;0,Notenliste!$B$37," ")</f>
        <v xml:space="preserve"> </v>
      </c>
    </row>
    <row r="14" spans="1:8" x14ac:dyDescent="0.25">
      <c r="A14" s="13" t="str">
        <f>IF(Notenliste!D14=0," ",Notenliste!D14)</f>
        <v xml:space="preserve"> </v>
      </c>
      <c r="C14" t="str">
        <f>IF(Notenliste!D14&lt;&gt;0,IF(Notenliste!Q14&lt;&gt;0,Notenliste!Q14,Notenliste!$B$33)," ")</f>
        <v xml:space="preserve"> </v>
      </c>
      <c r="D14" s="64" t="str">
        <f>IF(Notenliste!D14=0," ",IF(Notenliste!F14="KP"," ",IF(Notenliste!F14="NB","nicht bestanden",IF(OR(Notenliste!P14="x", Notenliste!P14="X"),"bestanden",Notenliste!F14))))</f>
        <v xml:space="preserve"> </v>
      </c>
      <c r="E14" s="60" t="str">
        <f>IF(Notenliste!D14&lt;&gt;0,Notenliste!$B$37," ")</f>
        <v xml:space="preserve"> </v>
      </c>
    </row>
    <row r="15" spans="1:8" x14ac:dyDescent="0.25">
      <c r="A15" s="13" t="str">
        <f>IF(Notenliste!D15=0," ",Notenliste!D15)</f>
        <v xml:space="preserve"> </v>
      </c>
      <c r="C15" t="str">
        <f>IF(Notenliste!D15&lt;&gt;0,IF(Notenliste!Q15&lt;&gt;0,Notenliste!Q15,Notenliste!$B$33)," ")</f>
        <v xml:space="preserve"> </v>
      </c>
      <c r="D15" s="64" t="str">
        <f>IF(Notenliste!D15=0," ",IF(Notenliste!F15="KP"," ",IF(Notenliste!F15="NB","nicht bestanden",IF(OR(Notenliste!P15="x", Notenliste!P15="X"),"bestanden",Notenliste!F15))))</f>
        <v xml:space="preserve"> </v>
      </c>
      <c r="E15" s="60" t="str">
        <f>IF(Notenliste!D15&lt;&gt;0,Notenliste!$B$37," ")</f>
        <v xml:space="preserve"> </v>
      </c>
    </row>
    <row r="16" spans="1:8" x14ac:dyDescent="0.25">
      <c r="A16" s="13" t="str">
        <f>IF(Notenliste!D16=0," ",Notenliste!D16)</f>
        <v xml:space="preserve"> </v>
      </c>
      <c r="C16" t="str">
        <f>IF(Notenliste!D16&lt;&gt;0,IF(Notenliste!Q16&lt;&gt;0,Notenliste!Q16,Notenliste!$B$33)," ")</f>
        <v xml:space="preserve"> </v>
      </c>
      <c r="D16" s="64" t="str">
        <f>IF(Notenliste!D16=0," ",IF(Notenliste!F16="KP"," ",IF(Notenliste!F16="NB","nicht bestanden",IF(OR(Notenliste!P16="x", Notenliste!P16="X"),"bestanden",Notenliste!F16))))</f>
        <v xml:space="preserve"> </v>
      </c>
      <c r="E16" s="60" t="str">
        <f>IF(Notenliste!D16&lt;&gt;0,Notenliste!$B$37," ")</f>
        <v xml:space="preserve"> </v>
      </c>
    </row>
    <row r="17" spans="1:5" x14ac:dyDescent="0.25">
      <c r="A17" s="13" t="str">
        <f>IF(Notenliste!D17=0," ",Notenliste!D17)</f>
        <v xml:space="preserve"> </v>
      </c>
      <c r="C17" t="str">
        <f>IF(Notenliste!D17&lt;&gt;0,IF(Notenliste!Q17&lt;&gt;0,Notenliste!Q17,Notenliste!$B$33)," ")</f>
        <v xml:space="preserve"> </v>
      </c>
      <c r="D17" s="64" t="str">
        <f>IF(Notenliste!D17=0," ",IF(Notenliste!F17="KP"," ",IF(Notenliste!F17="NB","nicht bestanden",IF(OR(Notenliste!P17="x", Notenliste!P17="X"),"bestanden",Notenliste!F17))))</f>
        <v xml:space="preserve"> </v>
      </c>
      <c r="E17" s="60" t="str">
        <f>IF(Notenliste!D17&lt;&gt;0,Notenliste!$B$37," ")</f>
        <v xml:space="preserve"> </v>
      </c>
    </row>
    <row r="18" spans="1:5" x14ac:dyDescent="0.25">
      <c r="A18" s="13" t="str">
        <f>IF(Notenliste!D18=0," ",Notenliste!D18)</f>
        <v xml:space="preserve"> </v>
      </c>
      <c r="C18" t="str">
        <f>IF(Notenliste!D18&lt;&gt;0,IF(Notenliste!Q18&lt;&gt;0,Notenliste!Q18,Notenliste!$B$33)," ")</f>
        <v xml:space="preserve"> </v>
      </c>
      <c r="D18" s="64" t="str">
        <f>IF(Notenliste!D18=0," ",IF(Notenliste!F18="KP"," ",IF(Notenliste!F18="NB","nicht bestanden",IF(OR(Notenliste!P18="x", Notenliste!P18="X"),"bestanden",Notenliste!F18))))</f>
        <v xml:space="preserve"> </v>
      </c>
      <c r="E18" s="60" t="str">
        <f>IF(Notenliste!D18&lt;&gt;0,Notenliste!$B$37," ")</f>
        <v xml:space="preserve"> </v>
      </c>
    </row>
    <row r="19" spans="1:5" x14ac:dyDescent="0.25">
      <c r="A19" s="13" t="str">
        <f>IF(Notenliste!D19=0," ",Notenliste!D19)</f>
        <v xml:space="preserve"> </v>
      </c>
      <c r="C19" t="str">
        <f>IF(Notenliste!D19&lt;&gt;0,IF(Notenliste!Q19&lt;&gt;0,Notenliste!Q19,Notenliste!$B$33)," ")</f>
        <v xml:space="preserve"> </v>
      </c>
      <c r="D19" s="64" t="str">
        <f>IF(Notenliste!D19=0," ",IF(Notenliste!F19="KP"," ",IF(Notenliste!F19="NB","nicht bestanden",IF(OR(Notenliste!P19="x", Notenliste!P19="X"),"bestanden",Notenliste!F19))))</f>
        <v xml:space="preserve"> </v>
      </c>
      <c r="E19" s="60" t="str">
        <f>IF(Notenliste!D19&lt;&gt;0,Notenliste!$B$37," ")</f>
        <v xml:space="preserve"> </v>
      </c>
    </row>
    <row r="20" spans="1:5" x14ac:dyDescent="0.25">
      <c r="A20" s="13" t="str">
        <f>IF(Notenliste!D20=0," ",Notenliste!D20)</f>
        <v xml:space="preserve"> </v>
      </c>
      <c r="C20" t="str">
        <f>IF(Notenliste!D20&lt;&gt;0,IF(Notenliste!Q20&lt;&gt;0,Notenliste!Q20,Notenliste!$B$33)," ")</f>
        <v xml:space="preserve"> </v>
      </c>
      <c r="D20" s="64" t="str">
        <f>IF(Notenliste!D20=0," ",IF(Notenliste!F20="KP"," ",IF(Notenliste!F20="NB","nicht bestanden",IF(OR(Notenliste!P20="x", Notenliste!P20="X"),"bestanden",Notenliste!F20))))</f>
        <v xml:space="preserve"> </v>
      </c>
      <c r="E20" s="60" t="str">
        <f>IF(Notenliste!D20&lt;&gt;0,Notenliste!$B$37," ")</f>
        <v xml:space="preserve"> </v>
      </c>
    </row>
    <row r="21" spans="1:5" x14ac:dyDescent="0.25">
      <c r="A21" s="13" t="str">
        <f>IF(Notenliste!D21=0," ",Notenliste!D21)</f>
        <v xml:space="preserve"> </v>
      </c>
      <c r="C21" t="str">
        <f>IF(Notenliste!D21&lt;&gt;0,IF(Notenliste!Q21&lt;&gt;0,Notenliste!Q21,Notenliste!$B$33)," ")</f>
        <v xml:space="preserve"> </v>
      </c>
      <c r="D21" s="64" t="str">
        <f>IF(Notenliste!D21=0," ",IF(Notenliste!F21="KP"," ",IF(Notenliste!F21="NB","nicht bestanden",IF(OR(Notenliste!P21="x", Notenliste!P21="X"),"bestanden",Notenliste!F21))))</f>
        <v xml:space="preserve"> </v>
      </c>
      <c r="E21" s="60" t="str">
        <f>IF(Notenliste!D21&lt;&gt;0,Notenliste!$B$37," ")</f>
        <v xml:space="preserve"> </v>
      </c>
    </row>
    <row r="22" spans="1:5" x14ac:dyDescent="0.25">
      <c r="A22" s="13" t="str">
        <f>IF(Notenliste!D22=0," ",Notenliste!D22)</f>
        <v xml:space="preserve"> </v>
      </c>
      <c r="C22" t="str">
        <f>IF(Notenliste!D22&lt;&gt;0,IF(Notenliste!Q22&lt;&gt;0,Notenliste!Q22,Notenliste!$B$33)," ")</f>
        <v xml:space="preserve"> </v>
      </c>
      <c r="D22" s="64" t="str">
        <f>IF(Notenliste!D22=0," ",IF(Notenliste!F22="KP"," ",IF(Notenliste!F22="NB","nicht bestanden",IF(OR(Notenliste!P22="x", Notenliste!P22="X"),"bestanden",Notenliste!F22))))</f>
        <v xml:space="preserve"> </v>
      </c>
      <c r="E22" s="60" t="str">
        <f>IF(Notenliste!D22&lt;&gt;0,Notenliste!$B$37," ")</f>
        <v xml:space="preserve"> </v>
      </c>
    </row>
    <row r="23" spans="1:5" x14ac:dyDescent="0.25">
      <c r="A23" s="13" t="str">
        <f>IF(Notenliste!D23=0," ",Notenliste!D23)</f>
        <v xml:space="preserve"> </v>
      </c>
      <c r="C23" t="str">
        <f>IF(Notenliste!D23&lt;&gt;0,IF(Notenliste!Q23&lt;&gt;0,Notenliste!Q23,Notenliste!$B$33)," ")</f>
        <v xml:space="preserve"> </v>
      </c>
      <c r="D23" s="64" t="str">
        <f>IF(Notenliste!D23=0," ",IF(Notenliste!F23="KP"," ",IF(Notenliste!F23="NB","nicht bestanden",IF(OR(Notenliste!P23="x", Notenliste!P23="X"),"bestanden",Notenliste!F23))))</f>
        <v xml:space="preserve"> </v>
      </c>
      <c r="E23" s="60" t="str">
        <f>IF(Notenliste!D23&lt;&gt;0,Notenliste!$B$37," ")</f>
        <v xml:space="preserve"> </v>
      </c>
    </row>
    <row r="24" spans="1:5" x14ac:dyDescent="0.25">
      <c r="A24" s="13" t="str">
        <f>IF(Notenliste!D24=0," ",Notenliste!D24)</f>
        <v xml:space="preserve"> </v>
      </c>
      <c r="C24" t="str">
        <f>IF(Notenliste!D24&lt;&gt;0,IF(Notenliste!Q24&lt;&gt;0,Notenliste!Q24,Notenliste!$B$33)," ")</f>
        <v xml:space="preserve"> </v>
      </c>
      <c r="D24" s="64" t="str">
        <f>IF(Notenliste!D24=0," ",IF(Notenliste!F24="KP"," ",IF(Notenliste!F24="NB","nicht bestanden",IF(OR(Notenliste!P24="x", Notenliste!P24="X"),"bestanden",Notenliste!F24))))</f>
        <v xml:space="preserve"> </v>
      </c>
      <c r="E24" s="60" t="str">
        <f>IF(Notenliste!D24&lt;&gt;0,Notenliste!$B$37," ")</f>
        <v xml:space="preserve"> </v>
      </c>
    </row>
    <row r="25" spans="1:5" x14ac:dyDescent="0.25">
      <c r="A25" s="13" t="str">
        <f>IF(Notenliste!D25=0," ",Notenliste!D25)</f>
        <v xml:space="preserve"> </v>
      </c>
      <c r="C25" t="str">
        <f>IF(Notenliste!D25&lt;&gt;0,IF(Notenliste!Q25&lt;&gt;0,Notenliste!Q25,Notenliste!$B$33)," ")</f>
        <v xml:space="preserve"> </v>
      </c>
      <c r="D25" s="64" t="str">
        <f>IF(Notenliste!D25=0," ",IF(Notenliste!F25="KP"," ",IF(Notenliste!F25="NB","nicht bestanden",IF(OR(Notenliste!P25="x", Notenliste!P25="X"),"bestanden",Notenliste!F25))))</f>
        <v xml:space="preserve"> </v>
      </c>
      <c r="E25" s="60" t="str">
        <f>IF(Notenliste!D25&lt;&gt;0,Notenliste!$B$37," ")</f>
        <v xml:space="preserve"> </v>
      </c>
    </row>
    <row r="26" spans="1:5" x14ac:dyDescent="0.25">
      <c r="A26" s="13" t="str">
        <f>IF(Notenliste!D26=0," ",Notenliste!D26)</f>
        <v xml:space="preserve"> </v>
      </c>
      <c r="C26" t="str">
        <f>IF(Notenliste!D26&lt;&gt;0,IF(Notenliste!Q26&lt;&gt;0,Notenliste!Q26,Notenliste!$B$33)," ")</f>
        <v xml:space="preserve"> </v>
      </c>
      <c r="D26" s="64" t="str">
        <f>IF(Notenliste!D26=0," ",IF(Notenliste!F26="KP"," ",IF(Notenliste!F26="NB","nicht bestanden",IF(OR(Notenliste!P26="x", Notenliste!P26="X"),"bestanden",Notenliste!F26))))</f>
        <v xml:space="preserve"> </v>
      </c>
      <c r="E26" s="60" t="str">
        <f>IF(Notenliste!D26&lt;&gt;0,Notenliste!$B$37," ")</f>
        <v xml:space="preserve"> </v>
      </c>
    </row>
  </sheetData>
  <sheetProtection sheet="1" objects="1" scenarios="1" insertRows="0" deleteRows="0" sort="0" autoFilter="0"/>
  <dataValidations count="5">
    <dataValidation type="whole" allowBlank="1" showInputMessage="1" showErrorMessage="1" sqref="A1 A27:A1048576">
      <formula1>0</formula1>
      <formula2>99999999</formula2>
    </dataValidation>
    <dataValidation type="date" allowBlank="1" showInputMessage="1" showErrorMessage="1" sqref="E1 E27:E1048576">
      <formula1>41275</formula1>
      <formula2>73050</formula2>
    </dataValidation>
    <dataValidation type="decimal" allowBlank="1" showInputMessage="1" showErrorMessage="1" sqref="C1 C27:C1048576">
      <formula1>0</formula1>
      <formula2>120</formula2>
    </dataValidation>
    <dataValidation type="list" allowBlank="1" showInputMessage="1" showErrorMessage="1" sqref="D1">
      <formula1>Notenskala</formula1>
    </dataValidation>
    <dataValidation type="list" allowBlank="1" showInputMessage="1" showErrorMessage="1" sqref="B1">
      <formula1>Anmeldestatus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F19" sqref="F19"/>
    </sheetView>
  </sheetViews>
  <sheetFormatPr baseColWidth="10" defaultColWidth="11.5703125" defaultRowHeight="15" x14ac:dyDescent="0.25"/>
  <cols>
    <col min="1" max="1" width="26.7109375" customWidth="1"/>
    <col min="2" max="2" width="22.140625" customWidth="1"/>
    <col min="3" max="3" width="3.42578125" customWidth="1"/>
    <col min="4" max="4" width="11.42578125" customWidth="1"/>
    <col min="5" max="5" width="2.7109375" customWidth="1"/>
    <col min="6" max="6" width="25.7109375" customWidth="1"/>
    <col min="7" max="7" width="2.42578125" customWidth="1"/>
    <col min="8" max="8" width="11.42578125" style="20"/>
  </cols>
  <sheetData>
    <row r="1" spans="1:8" ht="15.75" thickBot="1" x14ac:dyDescent="0.3">
      <c r="A1" s="67" t="s">
        <v>7</v>
      </c>
      <c r="B1" s="67" t="s">
        <v>61</v>
      </c>
      <c r="D1" s="67" t="s">
        <v>53</v>
      </c>
      <c r="F1" s="67" t="s">
        <v>76</v>
      </c>
      <c r="H1" s="70" t="s">
        <v>34</v>
      </c>
    </row>
    <row r="2" spans="1:8" x14ac:dyDescent="0.25">
      <c r="A2" s="68" t="s">
        <v>41</v>
      </c>
      <c r="B2" s="68" t="s">
        <v>49</v>
      </c>
      <c r="D2" s="76" t="s">
        <v>42</v>
      </c>
      <c r="F2" s="76" t="s">
        <v>77</v>
      </c>
      <c r="H2" s="73" t="s">
        <v>78</v>
      </c>
    </row>
    <row r="3" spans="1:8" x14ac:dyDescent="0.25">
      <c r="A3" s="68" t="s">
        <v>62</v>
      </c>
      <c r="B3" s="68" t="s">
        <v>70</v>
      </c>
      <c r="D3" s="68" t="s">
        <v>54</v>
      </c>
      <c r="F3" s="68" t="s">
        <v>88</v>
      </c>
      <c r="H3" s="73" t="s">
        <v>79</v>
      </c>
    </row>
    <row r="4" spans="1:8" x14ac:dyDescent="0.25">
      <c r="A4" s="68" t="s">
        <v>64</v>
      </c>
      <c r="B4" s="68" t="s">
        <v>71</v>
      </c>
      <c r="D4" s="68" t="s">
        <v>55</v>
      </c>
      <c r="F4" s="68" t="s">
        <v>89</v>
      </c>
      <c r="H4" s="73" t="s">
        <v>80</v>
      </c>
    </row>
    <row r="5" spans="1:8" x14ac:dyDescent="0.25">
      <c r="A5" s="68" t="s">
        <v>63</v>
      </c>
      <c r="B5" s="68" t="s">
        <v>72</v>
      </c>
      <c r="D5" s="68" t="s">
        <v>56</v>
      </c>
      <c r="F5" s="68" t="s">
        <v>90</v>
      </c>
      <c r="H5" s="71"/>
    </row>
    <row r="6" spans="1:8" x14ac:dyDescent="0.25">
      <c r="A6" s="68" t="s">
        <v>65</v>
      </c>
      <c r="B6" s="68" t="s">
        <v>73</v>
      </c>
      <c r="D6" s="68" t="s">
        <v>57</v>
      </c>
      <c r="F6" s="68" t="s">
        <v>135</v>
      </c>
      <c r="H6" s="71"/>
    </row>
    <row r="7" spans="1:8" x14ac:dyDescent="0.25">
      <c r="A7" s="68" t="s">
        <v>66</v>
      </c>
      <c r="B7" s="68" t="s">
        <v>74</v>
      </c>
      <c r="D7" s="68" t="s">
        <v>58</v>
      </c>
      <c r="F7" s="68" t="s">
        <v>91</v>
      </c>
      <c r="H7" s="71"/>
    </row>
    <row r="8" spans="1:8" x14ac:dyDescent="0.25">
      <c r="A8" s="68" t="s">
        <v>67</v>
      </c>
      <c r="B8" s="68" t="s">
        <v>75</v>
      </c>
      <c r="D8" s="68" t="s">
        <v>108</v>
      </c>
      <c r="F8" s="68" t="s">
        <v>92</v>
      </c>
      <c r="H8" s="71"/>
    </row>
    <row r="9" spans="1:8" x14ac:dyDescent="0.25">
      <c r="A9" s="68" t="s">
        <v>68</v>
      </c>
      <c r="B9" s="68" t="s">
        <v>69</v>
      </c>
      <c r="D9" s="68" t="s">
        <v>109</v>
      </c>
      <c r="F9" s="68" t="s">
        <v>93</v>
      </c>
      <c r="H9" s="71"/>
    </row>
    <row r="10" spans="1:8" x14ac:dyDescent="0.25">
      <c r="A10" s="68" t="s">
        <v>104</v>
      </c>
      <c r="B10" s="68" t="s">
        <v>81</v>
      </c>
      <c r="D10" s="68" t="s">
        <v>59</v>
      </c>
      <c r="F10" s="68" t="s">
        <v>94</v>
      </c>
      <c r="H10" s="71"/>
    </row>
    <row r="11" spans="1:8" x14ac:dyDescent="0.25">
      <c r="A11" s="68" t="s">
        <v>105</v>
      </c>
      <c r="B11" s="68" t="s">
        <v>82</v>
      </c>
      <c r="D11" s="68" t="s">
        <v>60</v>
      </c>
      <c r="F11" s="68" t="s">
        <v>95</v>
      </c>
      <c r="H11" s="71"/>
    </row>
    <row r="12" spans="1:8" x14ac:dyDescent="0.25">
      <c r="A12" s="68" t="s">
        <v>106</v>
      </c>
      <c r="B12" s="68" t="s">
        <v>83</v>
      </c>
      <c r="D12" s="68" t="s">
        <v>100</v>
      </c>
      <c r="F12" s="68" t="s">
        <v>96</v>
      </c>
      <c r="H12" s="71"/>
    </row>
    <row r="13" spans="1:8" x14ac:dyDescent="0.25">
      <c r="A13" s="68" t="s">
        <v>107</v>
      </c>
      <c r="B13" s="68" t="s">
        <v>84</v>
      </c>
      <c r="D13" s="68" t="s">
        <v>101</v>
      </c>
      <c r="F13" s="68" t="s">
        <v>97</v>
      </c>
      <c r="H13" s="71"/>
    </row>
    <row r="14" spans="1:8" x14ac:dyDescent="0.25">
      <c r="A14" s="68"/>
      <c r="B14" s="68"/>
      <c r="D14" s="68" t="s">
        <v>102</v>
      </c>
      <c r="F14" s="68" t="s">
        <v>124</v>
      </c>
      <c r="H14" s="71"/>
    </row>
    <row r="15" spans="1:8" x14ac:dyDescent="0.25">
      <c r="A15" s="68"/>
      <c r="B15" s="68"/>
      <c r="D15" s="68" t="s">
        <v>103</v>
      </c>
      <c r="F15" s="68" t="s">
        <v>98</v>
      </c>
      <c r="H15" s="71"/>
    </row>
    <row r="16" spans="1:8" x14ac:dyDescent="0.25">
      <c r="A16" s="68"/>
      <c r="B16" s="68"/>
      <c r="D16" s="68"/>
      <c r="F16" s="68" t="s">
        <v>99</v>
      </c>
      <c r="H16" s="71"/>
    </row>
    <row r="17" spans="1:8" x14ac:dyDescent="0.25">
      <c r="A17" s="68"/>
      <c r="B17" s="68"/>
      <c r="D17" s="68"/>
      <c r="F17" s="68" t="s">
        <v>123</v>
      </c>
      <c r="H17" s="71"/>
    </row>
    <row r="18" spans="1:8" x14ac:dyDescent="0.25">
      <c r="A18" s="68"/>
      <c r="B18" s="68"/>
      <c r="D18" s="68"/>
      <c r="F18" s="68" t="s">
        <v>134</v>
      </c>
      <c r="H18" s="71"/>
    </row>
    <row r="19" spans="1:8" x14ac:dyDescent="0.25">
      <c r="A19" s="68"/>
      <c r="B19" s="68"/>
      <c r="D19" s="68"/>
      <c r="F19" s="68"/>
      <c r="H19" s="71"/>
    </row>
    <row r="20" spans="1:8" ht="15.75" thickBot="1" x14ac:dyDescent="0.3">
      <c r="A20" s="69"/>
      <c r="B20" s="69"/>
      <c r="D20" s="69"/>
      <c r="F20" s="69"/>
      <c r="H20" s="72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RAWDATA</vt:lpstr>
      <vt:lpstr>Notenliste</vt:lpstr>
      <vt:lpstr>Extrapunkte</vt:lpstr>
      <vt:lpstr>Notenverteilung</vt:lpstr>
      <vt:lpstr>Printlist</vt:lpstr>
      <vt:lpstr>Paricipantlist</vt:lpstr>
      <vt:lpstr>Teilnehmer</vt:lpstr>
      <vt:lpstr>Einstellungen</vt:lpstr>
      <vt:lpstr>Extrapunkte!Druckbereich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Spanisch 1</dc:title>
  <dc:creator>Einar Wilke</dc:creator>
  <cp:lastModifiedBy>Windows-Benutzer</cp:lastModifiedBy>
  <cp:lastPrinted>2025-03-13T12:10:39Z</cp:lastPrinted>
  <dcterms:created xsi:type="dcterms:W3CDTF">2013-02-04T17:25:48Z</dcterms:created>
  <dcterms:modified xsi:type="dcterms:W3CDTF">2026-02-09T12:52:18Z</dcterms:modified>
</cp:coreProperties>
</file>