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rvdp\Documents\Datenbank\excel_templates\"/>
    </mc:Choice>
  </mc:AlternateContent>
  <bookViews>
    <workbookView xWindow="-105" yWindow="-105" windowWidth="23250" windowHeight="12450" activeTab="1"/>
  </bookViews>
  <sheets>
    <sheet name="RAWDATA" sheetId="1" r:id="rId1"/>
    <sheet name="Notenliste" sheetId="2" r:id="rId2"/>
    <sheet name="Notenverteilung" sheetId="3" r:id="rId3"/>
    <sheet name="Printlist" sheetId="4" r:id="rId4"/>
    <sheet name="Paricipantlist" sheetId="5" r:id="rId5"/>
    <sheet name="Teilnehmer" sheetId="6" r:id="rId6"/>
  </sheets>
  <definedNames>
    <definedName name="kursname">Notenliste!$A$52:$A$60</definedName>
    <definedName name="semester">Notenliste!$D$52:$D$62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2" l="1"/>
  <c r="G5" i="4" l="1"/>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4" i="4"/>
  <c r="W3" i="2" l="1"/>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2" i="2"/>
  <c r="E40" i="5" l="1"/>
  <c r="D40" i="5"/>
  <c r="C40" i="5"/>
  <c r="B40"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F5" i="4" l="1"/>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L35" i="4" l="1"/>
  <c r="K35" i="4"/>
  <c r="J35" i="4" s="1"/>
  <c r="L29" i="4"/>
  <c r="K29" i="4"/>
  <c r="J29" i="4" s="1"/>
  <c r="L23" i="4"/>
  <c r="K23" i="4"/>
  <c r="J23" i="4" s="1"/>
  <c r="L17" i="4"/>
  <c r="K17" i="4"/>
  <c r="J17" i="4" s="1"/>
  <c r="L11" i="4"/>
  <c r="K11" i="4"/>
  <c r="J11" i="4" s="1"/>
  <c r="L5" i="4"/>
  <c r="K5" i="4"/>
  <c r="J5" i="4" s="1"/>
  <c r="K34" i="4"/>
  <c r="J34" i="4" s="1"/>
  <c r="L34" i="4"/>
  <c r="K28" i="4"/>
  <c r="J28" i="4" s="1"/>
  <c r="L28" i="4"/>
  <c r="K22" i="4"/>
  <c r="J22" i="4" s="1"/>
  <c r="L22" i="4"/>
  <c r="K16" i="4"/>
  <c r="J16" i="4" s="1"/>
  <c r="L16" i="4"/>
  <c r="K10" i="4"/>
  <c r="J10" i="4" s="1"/>
  <c r="L10" i="4"/>
  <c r="L33" i="4"/>
  <c r="K33" i="4"/>
  <c r="J33" i="4" s="1"/>
  <c r="K27" i="4"/>
  <c r="J27" i="4" s="1"/>
  <c r="L27" i="4"/>
  <c r="K21" i="4"/>
  <c r="J21" i="4" s="1"/>
  <c r="L21" i="4"/>
  <c r="L15" i="4"/>
  <c r="K15" i="4"/>
  <c r="J15" i="4" s="1"/>
  <c r="K9" i="4"/>
  <c r="J9" i="4" s="1"/>
  <c r="L9" i="4"/>
  <c r="L38" i="4"/>
  <c r="K38" i="4"/>
  <c r="J38" i="4" s="1"/>
  <c r="L32" i="4"/>
  <c r="K32" i="4"/>
  <c r="J32" i="4" s="1"/>
  <c r="L26" i="4"/>
  <c r="K26" i="4"/>
  <c r="J26" i="4" s="1"/>
  <c r="L20" i="4"/>
  <c r="K20" i="4"/>
  <c r="J20" i="4" s="1"/>
  <c r="L14" i="4"/>
  <c r="K14" i="4"/>
  <c r="J14" i="4" s="1"/>
  <c r="L8" i="4"/>
  <c r="K8" i="4"/>
  <c r="J8" i="4" s="1"/>
  <c r="L37" i="4"/>
  <c r="K37" i="4"/>
  <c r="J37" i="4" s="1"/>
  <c r="L31" i="4"/>
  <c r="K31" i="4"/>
  <c r="J31" i="4" s="1"/>
  <c r="L25" i="4"/>
  <c r="K25" i="4"/>
  <c r="J25" i="4" s="1"/>
  <c r="L19" i="4"/>
  <c r="K19" i="4"/>
  <c r="J19" i="4" s="1"/>
  <c r="L13" i="4"/>
  <c r="K13" i="4"/>
  <c r="J13" i="4" s="1"/>
  <c r="L7" i="4"/>
  <c r="K7" i="4"/>
  <c r="J7" i="4" s="1"/>
  <c r="L36" i="4"/>
  <c r="K36" i="4"/>
  <c r="J36" i="4" s="1"/>
  <c r="L30" i="4"/>
  <c r="K30" i="4"/>
  <c r="J30" i="4" s="1"/>
  <c r="L24" i="4"/>
  <c r="K24" i="4"/>
  <c r="J24" i="4" s="1"/>
  <c r="L18" i="4"/>
  <c r="K18" i="4"/>
  <c r="J18" i="4" s="1"/>
  <c r="L12" i="4"/>
  <c r="K12" i="4"/>
  <c r="J12" i="4" s="1"/>
  <c r="L6" i="4"/>
  <c r="K6" i="4"/>
  <c r="J6" i="4" s="1"/>
  <c r="V3" i="2"/>
  <c r="V4"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2" i="2"/>
  <c r="S3" i="2" l="1"/>
  <c r="T3" i="2" s="1"/>
  <c r="S4" i="2"/>
  <c r="T4" i="2" s="1"/>
  <c r="S5" i="2"/>
  <c r="T5" i="2" s="1"/>
  <c r="S6" i="2"/>
  <c r="T6" i="2" s="1"/>
  <c r="S7" i="2"/>
  <c r="T7" i="2" s="1"/>
  <c r="S8" i="2"/>
  <c r="T8" i="2" s="1"/>
  <c r="S9" i="2"/>
  <c r="T9" i="2" s="1"/>
  <c r="S10" i="2"/>
  <c r="T10" i="2" s="1"/>
  <c r="S11" i="2"/>
  <c r="T11" i="2" s="1"/>
  <c r="S12" i="2"/>
  <c r="T12" i="2" s="1"/>
  <c r="S13" i="2"/>
  <c r="T13" i="2" s="1"/>
  <c r="S14" i="2"/>
  <c r="T14" i="2" s="1"/>
  <c r="S15" i="2"/>
  <c r="T15" i="2" s="1"/>
  <c r="S16" i="2"/>
  <c r="T16" i="2" s="1"/>
  <c r="S17" i="2"/>
  <c r="T17" i="2" s="1"/>
  <c r="S18" i="2"/>
  <c r="T18" i="2" s="1"/>
  <c r="S19" i="2"/>
  <c r="T19" i="2" s="1"/>
  <c r="S20" i="2"/>
  <c r="T20" i="2" s="1"/>
  <c r="S21" i="2"/>
  <c r="T21" i="2" s="1"/>
  <c r="S22" i="2"/>
  <c r="T22" i="2" s="1"/>
  <c r="S23" i="2"/>
  <c r="T23" i="2" s="1"/>
  <c r="S24" i="2"/>
  <c r="T24" i="2" s="1"/>
  <c r="S25" i="2"/>
  <c r="T25" i="2" s="1"/>
  <c r="S26" i="2"/>
  <c r="T26" i="2" s="1"/>
  <c r="S27" i="2"/>
  <c r="T27" i="2" s="1"/>
  <c r="S28" i="2"/>
  <c r="T28" i="2" s="1"/>
  <c r="S29" i="2"/>
  <c r="T29" i="2" s="1"/>
  <c r="S30" i="2"/>
  <c r="T30" i="2" s="1"/>
  <c r="S31" i="2"/>
  <c r="T31" i="2" s="1"/>
  <c r="S32" i="2"/>
  <c r="T32" i="2" s="1"/>
  <c r="S33" i="2"/>
  <c r="T33" i="2" s="1"/>
  <c r="S34" i="2"/>
  <c r="T34" i="2" s="1"/>
  <c r="S35" i="2"/>
  <c r="T35" i="2" s="1"/>
  <c r="S36" i="2"/>
  <c r="T36"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E2" i="2"/>
  <c r="C34" i="6" l="1"/>
  <c r="D34" i="6"/>
  <c r="C28" i="6"/>
  <c r="D28" i="6"/>
  <c r="C22" i="6"/>
  <c r="D22" i="6"/>
  <c r="C16" i="6"/>
  <c r="D16" i="6"/>
  <c r="C10" i="6"/>
  <c r="D10" i="6"/>
  <c r="D4" i="6"/>
  <c r="C4" i="6"/>
  <c r="D23" i="6"/>
  <c r="C23" i="6"/>
  <c r="D11" i="6"/>
  <c r="C11" i="6"/>
  <c r="C5" i="6"/>
  <c r="D5" i="6"/>
  <c r="C33" i="6"/>
  <c r="D33" i="6"/>
  <c r="C27" i="6"/>
  <c r="D27" i="6"/>
  <c r="C21" i="6"/>
  <c r="D21" i="6"/>
  <c r="D15" i="6"/>
  <c r="C15" i="6"/>
  <c r="C9" i="6"/>
  <c r="D9" i="6"/>
  <c r="C3" i="6"/>
  <c r="D3" i="6"/>
  <c r="C36" i="6"/>
  <c r="D36" i="6"/>
  <c r="C30" i="6"/>
  <c r="D30" i="6"/>
  <c r="C18" i="6"/>
  <c r="D18" i="6"/>
  <c r="C12" i="6"/>
  <c r="D12" i="6"/>
  <c r="D35" i="6"/>
  <c r="C35" i="6"/>
  <c r="C29" i="6"/>
  <c r="D29" i="6"/>
  <c r="C17" i="6"/>
  <c r="D17" i="6"/>
  <c r="C32" i="6"/>
  <c r="D32" i="6"/>
  <c r="D26" i="6"/>
  <c r="C26" i="6"/>
  <c r="C20" i="6"/>
  <c r="D20" i="6"/>
  <c r="D14" i="6"/>
  <c r="C14" i="6"/>
  <c r="C8" i="6"/>
  <c r="D8" i="6"/>
  <c r="C24" i="6"/>
  <c r="D24" i="6"/>
  <c r="D6" i="6"/>
  <c r="C6" i="6"/>
  <c r="D31" i="6"/>
  <c r="C31" i="6"/>
  <c r="C25" i="6"/>
  <c r="D25" i="6"/>
  <c r="C19" i="6"/>
  <c r="D19" i="6"/>
  <c r="D13" i="6"/>
  <c r="C13" i="6"/>
  <c r="D7" i="6"/>
  <c r="C7" i="6"/>
  <c r="AD5" i="2"/>
  <c r="X6" i="2"/>
  <c r="AA8" i="2"/>
  <c r="AA10" i="2"/>
  <c r="AB12" i="2"/>
  <c r="AA14" i="2"/>
  <c r="AB16" i="2"/>
  <c r="AA18" i="2"/>
  <c r="AB20" i="2"/>
  <c r="AE22" i="2"/>
  <c r="AE24" i="2"/>
  <c r="X25" i="2"/>
  <c r="X30" i="2"/>
  <c r="X32" i="2"/>
  <c r="X33" i="2"/>
  <c r="X34" i="2"/>
  <c r="AC36" i="2"/>
  <c r="E4" i="6"/>
  <c r="E6" i="6"/>
  <c r="A7" i="6"/>
  <c r="E8" i="6"/>
  <c r="E10" i="6"/>
  <c r="E12" i="6"/>
  <c r="E14" i="6"/>
  <c r="E16" i="6"/>
  <c r="E18" i="6"/>
  <c r="E20" i="6"/>
  <c r="E22" i="6"/>
  <c r="E24" i="6"/>
  <c r="E26" i="6"/>
  <c r="E30" i="6"/>
  <c r="E34" i="6"/>
  <c r="S2" i="2"/>
  <c r="L4" i="4" s="1"/>
  <c r="D2" i="2"/>
  <c r="C2" i="2"/>
  <c r="B2" i="2"/>
  <c r="A2" i="2"/>
  <c r="A17" i="6"/>
  <c r="A15" i="6"/>
  <c r="A13" i="6"/>
  <c r="A11" i="6"/>
  <c r="A9" i="6"/>
  <c r="A5" i="6"/>
  <c r="A3" i="6"/>
  <c r="E6" i="5"/>
  <c r="D6" i="5"/>
  <c r="C6" i="5"/>
  <c r="B6" i="5"/>
  <c r="A3" i="5"/>
  <c r="A1" i="5"/>
  <c r="I38" i="4"/>
  <c r="H38" i="4"/>
  <c r="I37" i="4"/>
  <c r="H37" i="4"/>
  <c r="I36" i="4"/>
  <c r="H36" i="4"/>
  <c r="I35" i="4"/>
  <c r="H35" i="4"/>
  <c r="I34" i="4"/>
  <c r="H34" i="4"/>
  <c r="I33" i="4"/>
  <c r="H33" i="4"/>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F4" i="4"/>
  <c r="E4" i="4"/>
  <c r="D4" i="4"/>
  <c r="C4" i="4"/>
  <c r="B4" i="4"/>
  <c r="F2" i="4"/>
  <c r="A2" i="4"/>
  <c r="A1" i="4"/>
  <c r="A1" i="3"/>
  <c r="AD36" i="2"/>
  <c r="X36" i="2"/>
  <c r="E36" i="6"/>
  <c r="AE35" i="2"/>
  <c r="AD35" i="2"/>
  <c r="AC35" i="2"/>
  <c r="AB35" i="2"/>
  <c r="AA35" i="2"/>
  <c r="X35" i="2"/>
  <c r="E35" i="6"/>
  <c r="E33" i="6"/>
  <c r="E32" i="6"/>
  <c r="X31" i="2"/>
  <c r="E31" i="6"/>
  <c r="X29" i="2"/>
  <c r="E29" i="6"/>
  <c r="E28" i="6"/>
  <c r="X27" i="2"/>
  <c r="E27" i="6"/>
  <c r="X26" i="2"/>
  <c r="E25" i="6"/>
  <c r="AD24" i="2"/>
  <c r="X24" i="2"/>
  <c r="AE23" i="2"/>
  <c r="AD23" i="2"/>
  <c r="AC23" i="2"/>
  <c r="AB23" i="2"/>
  <c r="AA23" i="2"/>
  <c r="X23" i="2"/>
  <c r="E23" i="6"/>
  <c r="AB22" i="2"/>
  <c r="AC21" i="2"/>
  <c r="AB21" i="2"/>
  <c r="E21" i="6"/>
  <c r="AC20" i="2"/>
  <c r="AA20" i="2"/>
  <c r="AA19" i="2"/>
  <c r="E19" i="6"/>
  <c r="E17" i="6"/>
  <c r="AA15" i="2"/>
  <c r="E15" i="6"/>
  <c r="E13" i="6"/>
  <c r="AA12" i="2"/>
  <c r="E11" i="6"/>
  <c r="E9" i="6"/>
  <c r="AB8" i="2"/>
  <c r="AD7" i="2"/>
  <c r="X7" i="2"/>
  <c r="AE7" i="2"/>
  <c r="E7" i="6"/>
  <c r="AA6" i="2"/>
  <c r="X5" i="2"/>
  <c r="E5" i="6"/>
  <c r="X4" i="2"/>
  <c r="AD3" i="2"/>
  <c r="X3" i="2"/>
  <c r="AE3" i="2"/>
  <c r="E3" i="6"/>
  <c r="C2" i="6" l="1"/>
  <c r="E2" i="6"/>
  <c r="AB2" i="2"/>
  <c r="T2" i="2"/>
  <c r="K4" i="4" s="1"/>
  <c r="J4" i="4" s="1"/>
  <c r="A19" i="6"/>
  <c r="X21" i="2"/>
  <c r="AD21" i="2"/>
  <c r="AD4" i="2"/>
  <c r="AA16" i="2"/>
  <c r="AE20" i="2"/>
  <c r="AA21" i="2"/>
  <c r="AE21" i="2"/>
  <c r="AB24" i="2"/>
  <c r="AE4" i="2"/>
  <c r="X20" i="2"/>
  <c r="AD20" i="2"/>
  <c r="AC24" i="2"/>
  <c r="X28" i="2"/>
  <c r="AA36" i="2"/>
  <c r="AE36" i="2"/>
  <c r="AB36" i="2"/>
  <c r="AA4" i="2"/>
  <c r="AA24" i="2"/>
  <c r="AC22" i="2"/>
  <c r="X22" i="2"/>
  <c r="AD22" i="2"/>
  <c r="AD6" i="2"/>
  <c r="AB18" i="2"/>
  <c r="AA22" i="2"/>
  <c r="A21" i="6"/>
  <c r="A25" i="6"/>
  <c r="A29" i="6"/>
  <c r="A33" i="6"/>
  <c r="A23" i="6"/>
  <c r="A27" i="6"/>
  <c r="A31" i="6"/>
  <c r="A35" i="6"/>
  <c r="AD2" i="2"/>
  <c r="X2" i="2"/>
  <c r="AE2" i="2"/>
  <c r="AA3" i="2"/>
  <c r="AA5" i="2"/>
  <c r="AE6" i="2"/>
  <c r="AA7" i="2"/>
  <c r="AB10" i="2"/>
  <c r="AB14" i="2"/>
  <c r="AA2" i="2"/>
  <c r="AE5" i="2"/>
  <c r="AD9" i="2"/>
  <c r="X9" i="2"/>
  <c r="AD11" i="2"/>
  <c r="X11" i="2"/>
  <c r="AE11" i="2"/>
  <c r="AB5" i="2"/>
  <c r="AB6" i="2"/>
  <c r="AB7" i="2"/>
  <c r="AD8" i="2"/>
  <c r="X8" i="2"/>
  <c r="AA9" i="2"/>
  <c r="AD18" i="2"/>
  <c r="X18" i="2"/>
  <c r="A2" i="6"/>
  <c r="A4" i="6"/>
  <c r="A6" i="6"/>
  <c r="A8" i="6"/>
  <c r="A10" i="6"/>
  <c r="A12" i="6"/>
  <c r="A14" i="6"/>
  <c r="A16" i="6"/>
  <c r="A18" i="6"/>
  <c r="A20" i="6"/>
  <c r="A22" i="6"/>
  <c r="A24" i="6"/>
  <c r="A26" i="6"/>
  <c r="A28" i="6"/>
  <c r="A30" i="6"/>
  <c r="A32" i="6"/>
  <c r="A34" i="6"/>
  <c r="A36" i="6"/>
  <c r="AD13" i="2"/>
  <c r="X13" i="2"/>
  <c r="AD15" i="2"/>
  <c r="X15" i="2"/>
  <c r="AD17" i="2"/>
  <c r="X17" i="2"/>
  <c r="AD19" i="2"/>
  <c r="X19" i="2"/>
  <c r="AE9" i="2"/>
  <c r="AE13" i="2"/>
  <c r="AE15" i="2"/>
  <c r="AE17" i="2"/>
  <c r="AE19" i="2"/>
  <c r="AB3" i="2"/>
  <c r="AB4" i="2"/>
  <c r="AD10" i="2"/>
  <c r="X10" i="2"/>
  <c r="AA11" i="2"/>
  <c r="AD12" i="2"/>
  <c r="X12" i="2"/>
  <c r="AA13" i="2"/>
  <c r="AD14" i="2"/>
  <c r="X14" i="2"/>
  <c r="AD16" i="2"/>
  <c r="X16" i="2"/>
  <c r="AA17" i="2"/>
  <c r="AE8" i="2"/>
  <c r="AB9" i="2"/>
  <c r="AE10" i="2"/>
  <c r="AB11" i="2"/>
  <c r="AE12" i="2"/>
  <c r="AB13" i="2"/>
  <c r="AE14" i="2"/>
  <c r="AB15" i="2"/>
  <c r="AE16" i="2"/>
  <c r="AB17" i="2"/>
  <c r="AE18" i="2"/>
  <c r="AB19" i="2"/>
  <c r="D2" i="6" l="1"/>
  <c r="B11" i="3"/>
  <c r="B7" i="3"/>
  <c r="B3" i="3"/>
  <c r="T38" i="2" a="1"/>
  <c r="T38" i="2" s="1"/>
  <c r="B9" i="3"/>
  <c r="B4" i="3"/>
  <c r="B6" i="3"/>
  <c r="B10" i="3"/>
  <c r="T39" i="2"/>
  <c r="B13" i="3"/>
  <c r="B8" i="3"/>
  <c r="B12" i="3"/>
  <c r="B5" i="3"/>
  <c r="D1" i="3" l="1"/>
  <c r="AC16" i="2"/>
  <c r="AC3" i="2"/>
  <c r="AC19" i="2"/>
  <c r="AC4" i="2"/>
  <c r="AC11" i="2"/>
  <c r="AC2" i="2"/>
  <c r="AC6" i="2"/>
  <c r="AC7" i="2"/>
  <c r="AC9" i="2"/>
  <c r="AC8" i="2"/>
  <c r="AC18" i="2"/>
  <c r="AC15" i="2"/>
  <c r="AC17" i="2"/>
  <c r="AC10" i="2"/>
  <c r="AC12" i="2"/>
  <c r="AC14" i="2"/>
  <c r="AC13" i="2"/>
  <c r="AC5" i="2"/>
  <c r="J39" i="4"/>
</calcChain>
</file>

<file path=xl/sharedStrings.xml><?xml version="1.0" encoding="utf-8"?>
<sst xmlns="http://schemas.openxmlformats.org/spreadsheetml/2006/main" count="131" uniqueCount="86">
  <si>
    <t>Nr.</t>
  </si>
  <si>
    <t>Nachname</t>
  </si>
  <si>
    <t>Vorname</t>
  </si>
  <si>
    <t>Hochschule</t>
  </si>
  <si>
    <t>Matrikelnummer</t>
  </si>
  <si>
    <t>E-Mail</t>
  </si>
  <si>
    <t>Telefon</t>
  </si>
  <si>
    <t>Fakultät</t>
  </si>
  <si>
    <t>Semester</t>
  </si>
  <si>
    <t>Arabisch 1</t>
  </si>
  <si>
    <t>Name</t>
  </si>
  <si>
    <t xml:space="preserve"> Vorname</t>
  </si>
  <si>
    <t xml:space="preserve"> Hochschule</t>
  </si>
  <si>
    <t xml:space="preserve"> Gesamtbewertung in %</t>
  </si>
  <si>
    <t>Note</t>
  </si>
  <si>
    <t>ECTS</t>
  </si>
  <si>
    <t>Prüfungs-schein</t>
  </si>
  <si>
    <t>Level</t>
  </si>
  <si>
    <t>Schnitt</t>
  </si>
  <si>
    <t>Kursname</t>
  </si>
  <si>
    <t>Name Dozent</t>
  </si>
  <si>
    <t>Gesamtpunktzahl</t>
  </si>
  <si>
    <t>Durchschnittt</t>
  </si>
  <si>
    <t>Standardabweichung</t>
  </si>
  <si>
    <t>Name Dozent:</t>
  </si>
  <si>
    <t>In die grünen Felder bitte die Gesamtpunktzahl eingeben.
In die orangenen Felder bitte mit einem 'X' markieren.
Gelbe Felder, wenn nötig korrigieren.
Sollten Änderungen an Namen oder Matrikelnummer notwendig sein sind diese in Blatt "RAWDATA" zu machen.</t>
  </si>
  <si>
    <t>Level:</t>
  </si>
  <si>
    <t>ECTS:</t>
  </si>
  <si>
    <t>Kursname:</t>
  </si>
  <si>
    <t>Kursname-Zusatz</t>
  </si>
  <si>
    <t>Kurs Englisch</t>
  </si>
  <si>
    <t>Semester:</t>
  </si>
  <si>
    <t>Prüfungsdatum</t>
  </si>
  <si>
    <t>Schnitt:</t>
  </si>
  <si>
    <t>Anzahl</t>
  </si>
  <si>
    <t>NB</t>
  </si>
  <si>
    <t>Hoch-schule</t>
  </si>
  <si>
    <t>Matrikel
nummer</t>
  </si>
  <si>
    <t>Prüfungs-
schein</t>
  </si>
  <si>
    <t>Prozent</t>
  </si>
  <si>
    <t>Datum:_________________________                Unterschrift:_______________________________________</t>
  </si>
  <si>
    <t>Anwesenheitsliste</t>
  </si>
  <si>
    <t>Schreibt
Prüfung</t>
  </si>
  <si>
    <t>Status</t>
  </si>
  <si>
    <t>LP</t>
  </si>
  <si>
    <t>Datum</t>
  </si>
  <si>
    <t>Individueller Titel deutsch</t>
  </si>
  <si>
    <t>Individueller Titel englisch</t>
  </si>
  <si>
    <t>Anmerkungen</t>
  </si>
  <si>
    <t>applicant.last_name</t>
  </si>
  <si>
    <t>applicant.first_name</t>
  </si>
  <si>
    <t>applicant.origin.short_name</t>
  </si>
  <si>
    <t>applicant.tag</t>
  </si>
  <si>
    <t>applicant.mail</t>
  </si>
  <si>
    <t>applicant.phone</t>
  </si>
  <si>
    <t>course.ger</t>
  </si>
  <si>
    <t>course.ects_points</t>
  </si>
  <si>
    <t>course.name</t>
  </si>
  <si>
    <t>course.alternative</t>
  </si>
  <si>
    <t>course.name_english</t>
  </si>
  <si>
    <t>semester</t>
  </si>
  <si>
    <t>exam_date</t>
  </si>
  <si>
    <t>applicant.get_test_ger</t>
  </si>
  <si>
    <t>LO1</t>
  </si>
  <si>
    <t>LO2</t>
  </si>
  <si>
    <t xml:space="preserve">LO3 </t>
  </si>
  <si>
    <t xml:space="preserve">LO4 </t>
  </si>
  <si>
    <t>LO5</t>
  </si>
  <si>
    <t>LO6</t>
  </si>
  <si>
    <t>LO7</t>
  </si>
  <si>
    <t>LO8</t>
  </si>
  <si>
    <t>LO9</t>
  </si>
  <si>
    <t>LO10</t>
  </si>
  <si>
    <t>LO11</t>
  </si>
  <si>
    <t>LO12</t>
  </si>
  <si>
    <t>LO13</t>
  </si>
  <si>
    <t>course.teacher_name</t>
  </si>
  <si>
    <t>attendance.sanitized_grade</t>
  </si>
  <si>
    <t>attendance.ects_points</t>
  </si>
  <si>
    <t>Teilnahmeschein</t>
  </si>
  <si>
    <t>Schein erhalten</t>
  </si>
  <si>
    <t>attendance.ts_requested_str</t>
  </si>
  <si>
    <t>attendance.ts_received_str</t>
  </si>
  <si>
    <t>bestanden</t>
  </si>
  <si>
    <t>attendance.hide_grade_str</t>
  </si>
  <si>
    <t>bestanden statt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</si>
</sst>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4"/>
      <color theme="1"/>
      <name val="Calibri"/>
      <family val="2"/>
      <scheme val="minor"/>
    </font>
    <font>
      <b/>
      <sz val="11"/>
      <color theme="1"/>
      <name val="Calibri"/>
      <family val="2"/>
      <scheme val="minor"/>
    </font>
    <font>
      <b/>
      <sz val="10"/>
      <name val="Arial"/>
      <family val="2"/>
    </font>
    <font>
      <b/>
      <sz val="10"/>
      <color theme="1"/>
      <name val="Arial"/>
      <family val="2"/>
    </font>
  </fonts>
  <fills count="16">
    <fill>
      <patternFill patternType="none"/>
    </fill>
    <fill>
      <patternFill patternType="gray125"/>
    </fill>
    <fill>
      <patternFill patternType="solid">
        <fgColor theme="0" tint="-0.14999847407452621"/>
        <bgColor theme="0" tint="-0.14999847407452621"/>
      </patternFill>
    </fill>
    <fill>
      <patternFill patternType="solid">
        <fgColor theme="0" tint="-0.249977111117893"/>
        <bgColor theme="0" tint="-0.249977111117893"/>
      </patternFill>
    </fill>
    <fill>
      <patternFill patternType="solid">
        <fgColor theme="0"/>
        <bgColor theme="0"/>
      </patternFill>
    </fill>
    <fill>
      <patternFill patternType="solid">
        <fgColor theme="6" tint="0.59999389629810485"/>
        <bgColor theme="6" tint="0.59999389629810485"/>
      </patternFill>
    </fill>
    <fill>
      <patternFill patternType="solid">
        <fgColor indexed="5"/>
        <bgColor indexed="5"/>
      </patternFill>
    </fill>
    <fill>
      <patternFill patternType="solid">
        <fgColor rgb="FFFFFF00"/>
        <bgColor indexed="64"/>
      </patternFill>
    </fill>
    <fill>
      <patternFill patternType="solid">
        <fgColor theme="6" tint="0.39997558519241921"/>
        <bgColor rgb="FFB6D7A8"/>
      </patternFill>
    </fill>
    <fill>
      <patternFill patternType="solid">
        <fgColor theme="6" tint="0.39997558519241921"/>
        <bgColor rgb="FF9DC3E6"/>
      </patternFill>
    </fill>
    <fill>
      <patternFill patternType="solid">
        <fgColor theme="6" tint="0.39997558519241921"/>
        <bgColor rgb="FF9FC5E8"/>
      </patternFill>
    </fill>
    <fill>
      <patternFill patternType="solid">
        <fgColor theme="6" tint="0.39997558519241921"/>
        <bgColor indexed="64"/>
      </patternFill>
    </fill>
    <fill>
      <patternFill patternType="solid">
        <fgColor theme="0"/>
        <bgColor rgb="FFB6D7A8"/>
      </patternFill>
    </fill>
    <fill>
      <patternFill patternType="solid">
        <fgColor theme="0" tint="-0.249977111117893"/>
        <bgColor rgb="FFB6D7A8"/>
      </patternFill>
    </fill>
    <fill>
      <patternFill patternType="solid">
        <fgColor theme="0" tint="-0.14999847407452621"/>
        <bgColor indexed="64"/>
      </patternFill>
    </fill>
    <fill>
      <patternFill patternType="solid">
        <fgColor theme="0" tint="-0.249977111117893"/>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theme="1"/>
      </right>
      <top style="thin">
        <color auto="1"/>
      </top>
      <bottom/>
      <diagonal/>
    </border>
    <border>
      <left style="thin">
        <color theme="1"/>
      </left>
      <right style="thin">
        <color theme="1"/>
      </right>
      <top style="thin">
        <color theme="1"/>
      </top>
      <bottom style="thin">
        <color theme="1"/>
      </bottom>
      <diagonal/>
    </border>
    <border>
      <left style="thin">
        <color theme="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diagonal/>
    </border>
  </borders>
  <cellStyleXfs count="2">
    <xf numFmtId="0" fontId="0" fillId="0" borderId="0"/>
    <xf numFmtId="0" fontId="3" fillId="0" borderId="0"/>
  </cellStyleXfs>
  <cellXfs count="115">
    <xf numFmtId="0" fontId="0" fillId="0" borderId="0" xfId="0"/>
    <xf numFmtId="0" fontId="0" fillId="0" borderId="0" xfId="0" applyProtection="1">
      <protection locked="0"/>
    </xf>
    <xf numFmtId="0" fontId="0" fillId="0" borderId="0" xfId="0" applyAlignment="1" applyProtection="1">
      <alignment horizontal="right"/>
      <protection locked="0"/>
    </xf>
    <xf numFmtId="0" fontId="0" fillId="2" borderId="0" xfId="0" applyFill="1" applyAlignment="1">
      <alignment wrapText="1"/>
    </xf>
    <xf numFmtId="0" fontId="0" fillId="2" borderId="0" xfId="0" applyFill="1" applyAlignment="1">
      <alignment horizontal="right" wrapText="1"/>
    </xf>
    <xf numFmtId="0" fontId="3" fillId="0" borderId="0" xfId="1"/>
    <xf numFmtId="0" fontId="3" fillId="0" borderId="0" xfId="1" applyAlignment="1">
      <alignment horizontal="center"/>
    </xf>
    <xf numFmtId="0" fontId="3" fillId="0" borderId="0" xfId="1" applyAlignment="1">
      <alignment horizontal="center" vertical="center" wrapText="1"/>
    </xf>
    <xf numFmtId="0" fontId="3" fillId="0" borderId="0" xfId="1" applyAlignment="1">
      <alignment horizontal="center" vertical="center"/>
    </xf>
    <xf numFmtId="0" fontId="3" fillId="3" borderId="1" xfId="1" applyFill="1" applyBorder="1" applyAlignment="1">
      <alignment vertical="center"/>
    </xf>
    <xf numFmtId="0" fontId="3" fillId="3" borderId="1" xfId="1" applyFill="1" applyBorder="1" applyAlignment="1">
      <alignment horizontal="center" vertical="center" wrapText="1"/>
    </xf>
    <xf numFmtId="0" fontId="3" fillId="3" borderId="1" xfId="1" applyFill="1" applyBorder="1" applyAlignment="1">
      <alignment horizontal="center" vertical="center"/>
    </xf>
    <xf numFmtId="0" fontId="3" fillId="3" borderId="0" xfId="1" applyFill="1"/>
    <xf numFmtId="0" fontId="3" fillId="3" borderId="1" xfId="1" applyFill="1" applyBorder="1" applyAlignment="1">
      <alignment horizontal="center" textRotation="90" wrapText="1"/>
    </xf>
    <xf numFmtId="0" fontId="3" fillId="4" borderId="0" xfId="1" applyFill="1"/>
    <xf numFmtId="0" fontId="3" fillId="3" borderId="0" xfId="1" applyFill="1" applyAlignment="1">
      <alignment horizontal="center" vertical="center"/>
    </xf>
    <xf numFmtId="0" fontId="3" fillId="0" borderId="1" xfId="1" applyBorder="1"/>
    <xf numFmtId="0" fontId="3" fillId="0" borderId="1" xfId="1" applyBorder="1" applyAlignment="1">
      <alignment horizontal="center"/>
    </xf>
    <xf numFmtId="0" fontId="3" fillId="5" borderId="1" xfId="1" applyFill="1" applyBorder="1" applyAlignment="1" applyProtection="1">
      <alignment horizontal="center" vertical="center" wrapText="1"/>
      <protection locked="0"/>
    </xf>
    <xf numFmtId="0" fontId="3" fillId="0" borderId="1" xfId="1" applyBorder="1" applyAlignment="1">
      <alignment horizontal="center" vertical="center"/>
    </xf>
    <xf numFmtId="164" fontId="3" fillId="0" borderId="0" xfId="1" applyNumberFormat="1" applyAlignment="1">
      <alignment horizontal="center" vertical="center"/>
    </xf>
    <xf numFmtId="0" fontId="3" fillId="3" borderId="0" xfId="1" applyFill="1" applyAlignment="1">
      <alignment horizontal="center"/>
    </xf>
    <xf numFmtId="0" fontId="3" fillId="3" borderId="0" xfId="1" applyFill="1" applyAlignment="1">
      <alignment horizontal="center" vertical="center" wrapText="1"/>
    </xf>
    <xf numFmtId="0" fontId="3" fillId="4" borderId="0" xfId="1" applyFill="1" applyAlignment="1">
      <alignment horizontal="left" vertical="top"/>
    </xf>
    <xf numFmtId="0" fontId="3" fillId="4" borderId="0" xfId="1" applyFill="1" applyAlignment="1">
      <alignment horizontal="center"/>
    </xf>
    <xf numFmtId="0" fontId="3" fillId="4" borderId="0" xfId="1" applyFill="1" applyAlignment="1">
      <alignment horizontal="center" vertical="center" wrapText="1"/>
    </xf>
    <xf numFmtId="0" fontId="3" fillId="4" borderId="0" xfId="1" applyFill="1" applyAlignment="1">
      <alignment horizontal="center" vertical="center"/>
    </xf>
    <xf numFmtId="0" fontId="3" fillId="6" borderId="0" xfId="1" applyFill="1" applyProtection="1">
      <protection locked="0"/>
    </xf>
    <xf numFmtId="0" fontId="3" fillId="0" borderId="0" xfId="1" applyProtection="1">
      <protection locked="0"/>
    </xf>
    <xf numFmtId="0" fontId="0" fillId="0" borderId="0" xfId="0" applyAlignment="1">
      <alignment horizontal="center" vertical="center"/>
    </xf>
    <xf numFmtId="0" fontId="0" fillId="3" borderId="0" xfId="0" applyFill="1" applyAlignment="1">
      <alignment horizontal="right"/>
    </xf>
    <xf numFmtId="2" fontId="0" fillId="3" borderId="0" xfId="0" applyNumberFormat="1" applyFill="1" applyAlignment="1">
      <alignment horizontal="center" vertical="center"/>
    </xf>
    <xf numFmtId="0" fontId="0" fillId="0" borderId="0" xfId="0" applyAlignment="1">
      <alignment horizontal="center"/>
    </xf>
    <xf numFmtId="0" fontId="0" fillId="4" borderId="0" xfId="0" applyFill="1"/>
    <xf numFmtId="0" fontId="0" fillId="4" borderId="0" xfId="0" applyFill="1" applyAlignment="1">
      <alignment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textRotation="90" wrapText="1"/>
    </xf>
    <xf numFmtId="0" fontId="0" fillId="0" borderId="1" xfId="0" applyBorder="1" applyAlignment="1">
      <alignment horizontal="center" vertical="center"/>
    </xf>
    <xf numFmtId="0" fontId="0" fillId="0" borderId="1" xfId="0" applyBorder="1"/>
    <xf numFmtId="0" fontId="0" fillId="0" borderId="1" xfId="0" applyBorder="1" applyAlignment="1">
      <alignment horizontal="center"/>
    </xf>
    <xf numFmtId="0" fontId="0" fillId="4" borderId="9" xfId="0" applyFill="1" applyBorder="1" applyAlignment="1">
      <alignment horizontal="center" vertical="center"/>
    </xf>
    <xf numFmtId="0" fontId="0" fillId="4" borderId="9" xfId="0" applyFill="1" applyBorder="1"/>
    <xf numFmtId="0" fontId="0" fillId="4" borderId="9" xfId="0" applyFill="1" applyBorder="1" applyAlignment="1">
      <alignment horizontal="center"/>
    </xf>
    <xf numFmtId="0" fontId="0" fillId="0" borderId="9" xfId="0" applyBorder="1" applyAlignment="1">
      <alignment horizontal="center"/>
    </xf>
    <xf numFmtId="0" fontId="0" fillId="0" borderId="0" xfId="0" applyAlignment="1" applyProtection="1">
      <alignment horizontal="center" vertical="center"/>
      <protection locked="0"/>
    </xf>
    <xf numFmtId="0" fontId="6" fillId="4" borderId="0" xfId="0" applyFont="1" applyFill="1" applyAlignment="1">
      <alignment horizontal="left" vertical="center"/>
    </xf>
    <xf numFmtId="0" fontId="0" fillId="0" borderId="0" xfId="0" applyAlignment="1">
      <alignment vertical="center"/>
    </xf>
    <xf numFmtId="0" fontId="0" fillId="2" borderId="2"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0" xfId="0" applyFill="1" applyAlignment="1">
      <alignment horizontal="center" vertical="center" wrapText="1"/>
    </xf>
    <xf numFmtId="0" fontId="0" fillId="2" borderId="9" xfId="0" applyFill="1" applyBorder="1" applyAlignment="1">
      <alignment horizontal="center"/>
    </xf>
    <xf numFmtId="0" fontId="0" fillId="0" borderId="1" xfId="0" applyBorder="1" applyAlignment="1" applyProtection="1">
      <alignment horizontal="center"/>
      <protection locked="0"/>
    </xf>
    <xf numFmtId="0" fontId="0" fillId="0" borderId="1" xfId="0" applyBorder="1" applyAlignment="1" applyProtection="1">
      <alignment horizontal="center" vertical="center"/>
      <protection locked="0"/>
    </xf>
    <xf numFmtId="0" fontId="0" fillId="0" borderId="0" xfId="0" applyAlignment="1">
      <alignment horizontal="right"/>
    </xf>
    <xf numFmtId="2" fontId="0" fillId="0" borderId="0" xfId="0" applyNumberFormat="1" applyAlignment="1">
      <alignment horizontal="right" vertical="center"/>
    </xf>
    <xf numFmtId="14" fontId="0" fillId="0" borderId="0" xfId="0" applyNumberFormat="1"/>
    <xf numFmtId="2" fontId="0" fillId="0" borderId="0" xfId="0" applyNumberFormat="1" applyAlignment="1">
      <alignment horizontal="left" vertical="center"/>
    </xf>
    <xf numFmtId="2" fontId="0" fillId="0" borderId="0" xfId="0" applyNumberFormat="1" applyAlignment="1" applyProtection="1">
      <alignment horizontal="right" vertical="center"/>
      <protection locked="0"/>
    </xf>
    <xf numFmtId="14" fontId="0" fillId="0" borderId="0" xfId="0" applyNumberFormat="1" applyProtection="1">
      <protection locked="0"/>
    </xf>
    <xf numFmtId="0" fontId="2" fillId="0" borderId="0" xfId="0" applyFont="1" applyProtection="1">
      <protection locked="0"/>
    </xf>
    <xf numFmtId="0" fontId="3" fillId="7" borderId="0" xfId="1" applyFill="1" applyAlignment="1">
      <alignment horizontal="left" vertical="center"/>
    </xf>
    <xf numFmtId="0" fontId="3" fillId="7" borderId="0" xfId="1" applyFill="1"/>
    <xf numFmtId="14" fontId="3" fillId="7" borderId="0" xfId="1" applyNumberFormat="1" applyFill="1" applyAlignment="1">
      <alignment horizontal="left"/>
    </xf>
    <xf numFmtId="0" fontId="3" fillId="3" borderId="2" xfId="1" applyFill="1" applyBorder="1" applyAlignment="1">
      <alignment horizontal="center" vertical="center" wrapText="1"/>
    </xf>
    <xf numFmtId="0" fontId="3" fillId="8" borderId="1" xfId="1" applyFill="1" applyBorder="1" applyAlignment="1" applyProtection="1">
      <alignment horizontal="center"/>
      <protection locked="0"/>
    </xf>
    <xf numFmtId="0" fontId="3" fillId="10" borderId="1" xfId="1" applyFill="1" applyBorder="1" applyAlignment="1" applyProtection="1">
      <alignment horizontal="center"/>
      <protection locked="0"/>
    </xf>
    <xf numFmtId="0" fontId="3" fillId="10" borderId="7" xfId="1" applyFill="1" applyBorder="1" applyAlignment="1" applyProtection="1">
      <alignment horizontal="center"/>
      <protection locked="0"/>
    </xf>
    <xf numFmtId="0" fontId="3" fillId="8" borderId="7" xfId="1" applyFill="1" applyBorder="1" applyAlignment="1" applyProtection="1">
      <alignment horizontal="center"/>
      <protection locked="0"/>
    </xf>
    <xf numFmtId="0" fontId="3" fillId="11" borderId="1" xfId="1" applyFill="1" applyBorder="1" applyAlignment="1" applyProtection="1">
      <alignment horizontal="center"/>
      <protection locked="0"/>
    </xf>
    <xf numFmtId="0" fontId="7" fillId="8" borderId="2" xfId="0" applyFont="1" applyFill="1" applyBorder="1" applyAlignment="1" applyProtection="1">
      <alignment horizontal="center" vertical="center" wrapText="1"/>
      <protection locked="0"/>
    </xf>
    <xf numFmtId="0" fontId="4" fillId="8" borderId="3" xfId="0" applyFont="1" applyFill="1" applyBorder="1" applyAlignment="1" applyProtection="1">
      <alignment horizontal="center" vertical="center" wrapText="1"/>
      <protection locked="0"/>
    </xf>
    <xf numFmtId="0" fontId="4" fillId="9" borderId="3" xfId="0" applyFont="1" applyFill="1" applyBorder="1" applyAlignment="1" applyProtection="1">
      <alignment horizontal="center" vertical="center" wrapText="1"/>
      <protection locked="0"/>
    </xf>
    <xf numFmtId="0" fontId="7" fillId="9" borderId="3" xfId="0" applyFont="1" applyFill="1" applyBorder="1" applyAlignment="1" applyProtection="1">
      <alignment horizontal="center" vertical="center" wrapText="1"/>
      <protection locked="0"/>
    </xf>
    <xf numFmtId="0" fontId="7" fillId="10" borderId="3" xfId="0" applyFont="1" applyFill="1" applyBorder="1" applyAlignment="1" applyProtection="1">
      <alignment horizontal="center" vertical="center" wrapText="1"/>
      <protection locked="0"/>
    </xf>
    <xf numFmtId="0" fontId="7" fillId="10" borderId="4" xfId="0" applyFont="1" applyFill="1" applyBorder="1" applyAlignment="1" applyProtection="1">
      <alignment horizontal="center" vertical="center" wrapText="1"/>
      <protection locked="0"/>
    </xf>
    <xf numFmtId="0" fontId="8" fillId="10" borderId="5" xfId="0" applyFont="1" applyFill="1" applyBorder="1" applyAlignment="1" applyProtection="1">
      <alignment horizontal="center" vertical="center" wrapText="1"/>
      <protection locked="0"/>
    </xf>
    <xf numFmtId="0" fontId="7" fillId="9" borderId="6" xfId="0" applyFont="1" applyFill="1" applyBorder="1" applyAlignment="1" applyProtection="1">
      <alignment horizontal="center" vertical="center" wrapText="1"/>
      <protection locked="0"/>
    </xf>
    <xf numFmtId="0" fontId="7" fillId="8" borderId="4" xfId="0" applyFont="1" applyFill="1" applyBorder="1" applyAlignment="1" applyProtection="1">
      <alignment horizontal="center" vertical="center" wrapText="1"/>
      <protection locked="0"/>
    </xf>
    <xf numFmtId="0" fontId="7" fillId="8" borderId="5" xfId="0" applyFont="1" applyFill="1" applyBorder="1" applyAlignment="1" applyProtection="1">
      <alignment horizontal="center" vertical="center" wrapText="1"/>
      <protection locked="0"/>
    </xf>
    <xf numFmtId="0" fontId="7" fillId="8" borderId="6" xfId="0" applyFont="1" applyFill="1" applyBorder="1" applyAlignment="1" applyProtection="1">
      <alignment horizontal="center" vertical="center" wrapText="1"/>
      <protection locked="0"/>
    </xf>
    <xf numFmtId="0" fontId="7" fillId="8" borderId="3" xfId="0" applyFont="1" applyFill="1" applyBorder="1" applyAlignment="1" applyProtection="1">
      <alignment horizontal="center" vertical="center" wrapText="1"/>
      <protection locked="0"/>
    </xf>
    <xf numFmtId="0" fontId="0" fillId="14" borderId="0" xfId="0" applyFill="1" applyAlignment="1">
      <alignment wrapText="1"/>
    </xf>
    <xf numFmtId="0" fontId="0" fillId="14" borderId="0" xfId="0" applyFill="1" applyAlignment="1" applyProtection="1">
      <alignment wrapText="1"/>
      <protection locked="0"/>
    </xf>
    <xf numFmtId="0" fontId="1" fillId="2" borderId="0" xfId="0" applyFont="1" applyFill="1" applyAlignment="1">
      <alignment wrapText="1"/>
    </xf>
    <xf numFmtId="0" fontId="7" fillId="13" borderId="3" xfId="0" applyFont="1" applyFill="1" applyBorder="1" applyAlignment="1">
      <alignment horizontal="center" textRotation="90" wrapText="1"/>
    </xf>
    <xf numFmtId="0" fontId="3" fillId="12" borderId="1" xfId="1" applyFill="1" applyBorder="1" applyAlignment="1" applyProtection="1">
      <alignment horizontal="center"/>
      <protection locked="0"/>
    </xf>
    <xf numFmtId="0" fontId="3" fillId="15" borderId="1" xfId="1" applyFill="1" applyBorder="1" applyAlignment="1">
      <alignment horizontal="center" textRotation="90" wrapText="1"/>
    </xf>
    <xf numFmtId="0" fontId="3" fillId="0" borderId="1" xfId="1" applyBorder="1" applyAlignment="1" applyProtection="1">
      <alignment horizontal="center"/>
      <protection locked="0"/>
    </xf>
    <xf numFmtId="0" fontId="3" fillId="4" borderId="0" xfId="1" applyFill="1" applyAlignment="1">
      <alignment horizontal="left" vertical="top" wrapText="1"/>
    </xf>
    <xf numFmtId="0" fontId="3" fillId="0" borderId="0" xfId="1" applyAlignment="1">
      <alignment horizontal="center" vertical="center" wrapText="1"/>
    </xf>
    <xf numFmtId="0" fontId="3" fillId="0" borderId="0" xfId="1"/>
    <xf numFmtId="0" fontId="3" fillId="0" borderId="0" xfId="1" applyAlignment="1">
      <alignment horizontal="center"/>
    </xf>
    <xf numFmtId="0" fontId="0" fillId="3" borderId="0" xfId="0" applyFill="1" applyAlignment="1">
      <alignment horizontal="center"/>
    </xf>
    <xf numFmtId="0" fontId="0" fillId="0" borderId="0" xfId="0" applyAlignment="1">
      <alignment horizontal="center" vertical="center"/>
    </xf>
    <xf numFmtId="0" fontId="5" fillId="0" borderId="0" xfId="0" applyFont="1" applyAlignment="1">
      <alignment horizontal="center" vertical="top"/>
    </xf>
    <xf numFmtId="0" fontId="0" fillId="4" borderId="0" xfId="0" applyFill="1"/>
    <xf numFmtId="0" fontId="6" fillId="4" borderId="8" xfId="0" applyFont="1" applyFill="1" applyBorder="1" applyAlignment="1">
      <alignment horizontal="left" vertical="center"/>
    </xf>
    <xf numFmtId="0" fontId="0" fillId="0" borderId="8" xfId="0" applyBorder="1"/>
    <xf numFmtId="0" fontId="6" fillId="4" borderId="8" xfId="0" applyFont="1" applyFill="1" applyBorder="1" applyAlignment="1">
      <alignment horizontal="right" vertical="center"/>
    </xf>
    <xf numFmtId="0" fontId="0" fillId="0" borderId="0" xfId="0" applyAlignment="1">
      <alignment horizontal="right" vertical="center"/>
    </xf>
    <xf numFmtId="0" fontId="0" fillId="0" borderId="0" xfId="0"/>
    <xf numFmtId="0" fontId="0" fillId="0" borderId="0" xfId="0" applyAlignment="1">
      <alignment horizontal="center"/>
    </xf>
    <xf numFmtId="0" fontId="5" fillId="4" borderId="0" xfId="0" applyFont="1" applyFill="1" applyAlignment="1">
      <alignment horizontal="center" vertical="top"/>
    </xf>
    <xf numFmtId="0" fontId="0" fillId="0" borderId="0" xfId="0" applyAlignment="1" applyProtection="1">
      <alignment horizontal="center" vertical="center"/>
      <protection locked="0"/>
    </xf>
    <xf numFmtId="0" fontId="0" fillId="0" borderId="0" xfId="0" applyProtection="1">
      <protection locked="0"/>
    </xf>
    <xf numFmtId="0" fontId="6" fillId="4" borderId="0" xfId="0" applyFont="1" applyFill="1" applyAlignment="1">
      <alignment horizontal="left" vertical="center"/>
    </xf>
    <xf numFmtId="0" fontId="6" fillId="4" borderId="0" xfId="0" applyFont="1" applyFill="1" applyAlignment="1">
      <alignment horizontal="center" vertical="center"/>
    </xf>
    <xf numFmtId="0" fontId="0" fillId="2" borderId="1" xfId="0" applyFill="1" applyBorder="1" applyAlignment="1">
      <alignment horizontal="center" vertical="center" wrapText="1"/>
    </xf>
    <xf numFmtId="0" fontId="0" fillId="0" borderId="7" xfId="0" applyBorder="1"/>
    <xf numFmtId="0" fontId="0" fillId="2" borderId="10" xfId="0" applyFill="1" applyBorder="1" applyAlignment="1">
      <alignment horizontal="center" vertical="center" wrapText="1"/>
    </xf>
    <xf numFmtId="0" fontId="0" fillId="0" borderId="12" xfId="0" applyBorder="1"/>
    <xf numFmtId="0" fontId="0" fillId="2" borderId="1" xfId="0" applyFill="1" applyBorder="1" applyAlignment="1">
      <alignment horizontal="center" textRotation="90" wrapText="1"/>
    </xf>
  </cellXfs>
  <cellStyles count="2">
    <cellStyle name="Standard" xfId="0" builtinId="0"/>
    <cellStyle name="Standard 2" xfId="1"/>
  </cellStyles>
  <dxfs count="13">
    <dxf>
      <numFmt numFmtId="0" formatCode="General"/>
    </dxf>
    <dxf>
      <numFmt numFmtId="0" formatCode="General"/>
    </dxf>
    <dxf>
      <numFmt numFmtId="19" formatCode="dd/mm/yyyy"/>
    </dxf>
    <dxf>
      <numFmt numFmtId="2" formatCode="0.00"/>
      <alignment horizontal="right" vertical="center" textRotation="0" wrapText="0" relativeIndent="0" shrinkToFit="0"/>
    </dxf>
    <dxf>
      <numFmt numFmtId="0" formatCode="General"/>
    </dxf>
    <dxf>
      <numFmt numFmtId="0" formatCode="General"/>
      <alignment horizontal="right" vertical="bottom" textRotation="0" wrapText="0" relativeIndent="0" shrinkToFit="0"/>
    </dxf>
    <dxf>
      <protection locked="0" hidden="0"/>
    </dxf>
    <dxf>
      <protection locked="0" hidden="0"/>
    </dxf>
    <dxf>
      <font>
        <b val="0"/>
        <i val="0"/>
        <strike val="0"/>
        <condense val="0"/>
        <extend val="0"/>
        <outline val="0"/>
        <shadow val="0"/>
        <u val="none"/>
        <vertAlign val="baseline"/>
        <sz val="11"/>
        <color theme="1"/>
        <name val="Calibri"/>
        <scheme val="minor"/>
      </font>
      <protection locked="0" hidden="0"/>
    </dxf>
    <dxf>
      <protection locked="0" hidden="0"/>
    </dxf>
    <dxf>
      <protection locked="0" hidden="0"/>
    </dxf>
    <dxf>
      <protection locked="0" hidden="0"/>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100" b="0"/>
              <a:t>Notenverteilung</a:t>
            </a:r>
            <a:endParaRPr lang="de-DE" b="0"/>
          </a:p>
        </c:rich>
      </c:tx>
      <c:layout/>
      <c:overlay val="0"/>
      <c:spPr>
        <a:prstGeom prst="rect">
          <a:avLst/>
        </a:prstGeom>
        <a:noFill/>
        <a:ln>
          <a:prstDash val="solid"/>
        </a:ln>
      </c:spPr>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spPr>
            <a:ln>
              <a:prstDash val="solid"/>
            </a:ln>
          </c:spPr>
          <c:invertIfNegative val="0"/>
          <c:cat>
            <c:strRef>
              <c:f>Notenverteilung!$A$3:$A$13</c:f>
              <c:strCache>
                <c:ptCount val="11"/>
                <c:pt idx="0">
                  <c:v>1</c:v>
                </c:pt>
                <c:pt idx="1">
                  <c:v>1,3</c:v>
                </c:pt>
                <c:pt idx="2">
                  <c:v>1,7</c:v>
                </c:pt>
                <c:pt idx="3">
                  <c:v>2</c:v>
                </c:pt>
                <c:pt idx="4">
                  <c:v>2,3</c:v>
                </c:pt>
                <c:pt idx="5">
                  <c:v>2,7</c:v>
                </c:pt>
                <c:pt idx="6">
                  <c:v>3</c:v>
                </c:pt>
                <c:pt idx="7">
                  <c:v>3,3</c:v>
                </c:pt>
                <c:pt idx="8">
                  <c:v>3,7</c:v>
                </c:pt>
                <c:pt idx="9">
                  <c:v>4</c:v>
                </c:pt>
                <c:pt idx="10">
                  <c:v>NB</c:v>
                </c:pt>
              </c:strCache>
            </c:strRef>
          </c:cat>
          <c:val>
            <c:numRef>
              <c:f>Notenverteilung!$B$3:$B$13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82A4-41C6-8B8F-E231CE1EC745}"/>
            </c:ext>
          </c:extLst>
        </c:ser>
        <c:dLbls>
          <c:showLegendKey val="0"/>
          <c:showVal val="0"/>
          <c:showCatName val="0"/>
          <c:showSerName val="0"/>
          <c:showPercent val="0"/>
          <c:showBubbleSize val="0"/>
        </c:dLbls>
        <c:gapWidth val="150"/>
        <c:shape val="cylinder"/>
        <c:axId val="336645200"/>
        <c:axId val="336646880"/>
        <c:axId val="0"/>
      </c:bar3DChart>
      <c:catAx>
        <c:axId val="336645200"/>
        <c:scaling>
          <c:orientation val="minMax"/>
        </c:scaling>
        <c:delete val="0"/>
        <c:axPos val="b"/>
        <c:numFmt formatCode="General" sourceLinked="1"/>
        <c:majorTickMark val="out"/>
        <c:minorTickMark val="none"/>
        <c:tickLblPos val="nextTo"/>
        <c:crossAx val="336646880"/>
        <c:crosses val="autoZero"/>
        <c:auto val="1"/>
        <c:lblAlgn val="ctr"/>
        <c:lblOffset val="100"/>
        <c:noMultiLvlLbl val="0"/>
      </c:catAx>
      <c:valAx>
        <c:axId val="336646880"/>
        <c:scaling>
          <c:orientation val="minMax"/>
        </c:scaling>
        <c:delete val="0"/>
        <c:axPos val="l"/>
        <c:majorGridlines/>
        <c:numFmt formatCode="General" sourceLinked="1"/>
        <c:majorTickMark val="out"/>
        <c:minorTickMark val="none"/>
        <c:tickLblPos val="nextTo"/>
        <c:crossAx val="33664520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9525</xdr:rowOff>
    </xdr:from>
    <xdr:to>
      <xdr:col>8</xdr:col>
      <xdr:colOff>0</xdr:colOff>
      <xdr:row>13</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ATA" displayName="DATA" ref="B1:M2">
  <autoFilter ref="B1:M2"/>
  <tableColumns count="12">
    <tableColumn id="1" name="Nachname"/>
    <tableColumn id="2" name="Vorname"/>
    <tableColumn id="3" name="Hochschule"/>
    <tableColumn id="4" name="Matrikelnummer"/>
    <tableColumn id="7" name="Note" dataDxfId="12"/>
    <tableColumn id="8" name="LP" dataDxfId="11"/>
    <tableColumn id="9" name="Level" dataDxfId="10"/>
    <tableColumn id="5" name="E-Mail"/>
    <tableColumn id="11" name="Telefon" dataDxfId="9"/>
    <tableColumn id="12" name="bestanden" dataDxfId="8"/>
    <tableColumn id="10" name="Teilnahmeschein" dataDxfId="7"/>
    <tableColumn id="6" name="Schein erhalten" dataDxfId="6"/>
  </tableColumns>
  <tableStyleInfo name="TableStyleMedium9" showFirstColumn="0" showLastColumn="0" showRowStripes="1" showColumnStripes="0"/>
</table>
</file>

<file path=xl/tables/table2.xml><?xml version="1.0" encoding="utf-8"?>
<table xmlns="http://schemas.openxmlformats.org/spreadsheetml/2006/main" id="2" name="Tabelle1" displayName="Tabelle1" ref="A1:H36">
  <autoFilter ref="A1:H36"/>
  <tableColumns count="8">
    <tableColumn id="1" name="Matrikelnummer" dataDxfId="5"/>
    <tableColumn id="2" name="Status"/>
    <tableColumn id="3" name="LP" dataDxfId="4">
      <calculatedColumnFormula>IF(Notenliste!D2&lt;&gt;0,IF(Notenliste!V2&lt;&gt;0,Notenliste!V2,Notenliste!$B$43)," ")</calculatedColumnFormula>
    </tableColumn>
    <tableColumn id="4" name="Note" dataDxfId="3">
      <calculatedColumnFormula>IF(Notenliste!D2=0," ",IF(Notenliste!T2="KP"," ",IF(Notenliste!T2="NB","nicht bestanden",IF(OR(Notenliste!W2="x", Notenliste!W2="X"),"bestanden",Notenliste!T2))))</calculatedColumnFormula>
    </tableColumn>
    <tableColumn id="5" name="Datum" dataDxfId="2"/>
    <tableColumn id="6" name="Individueller Titel deutsch" dataDxfId="1"/>
    <tableColumn id="7" name="Individueller Titel englisch" dataDxfId="0"/>
    <tableColumn id="8" name="Anmerkunge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workbookViewId="0">
      <selection activeCell="G2" sqref="G2"/>
    </sheetView>
  </sheetViews>
  <sheetFormatPr baseColWidth="10" defaultColWidth="0" defaultRowHeight="15" zeroHeight="1" x14ac:dyDescent="0.25"/>
  <cols>
    <col min="1" max="1" width="3.7109375" style="1" bestFit="1" customWidth="1"/>
    <col min="2" max="2" width="28.42578125" style="1" customWidth="1"/>
    <col min="3" max="3" width="26.140625" style="1" customWidth="1"/>
    <col min="4" max="4" width="13.140625" style="1" customWidth="1"/>
    <col min="5" max="5" width="17.85546875" style="2" customWidth="1"/>
    <col min="6" max="6" width="7.28515625" style="2" customWidth="1"/>
    <col min="7" max="8" width="6.5703125" style="2" customWidth="1"/>
    <col min="9" max="9" width="31.85546875" style="1" bestFit="1" customWidth="1"/>
    <col min="10" max="10" width="31.85546875" style="1" customWidth="1"/>
    <col min="11" max="11" width="13" style="1" customWidth="1"/>
    <col min="12" max="12" width="24.7109375" style="1" customWidth="1"/>
    <col min="13" max="13" width="24.28515625" style="1" customWidth="1"/>
    <col min="14" max="14" width="45.140625" style="1" hidden="1" customWidth="1"/>
    <col min="15" max="15" width="9.42578125" style="1" hidden="1" customWidth="1"/>
    <col min="16" max="16" width="11.42578125" hidden="1" customWidth="1"/>
    <col min="17" max="16384" width="11.42578125" hidden="1"/>
  </cols>
  <sheetData>
    <row r="1" spans="1:15" x14ac:dyDescent="0.25">
      <c r="A1" s="3" t="s">
        <v>0</v>
      </c>
      <c r="B1" s="3" t="s">
        <v>1</v>
      </c>
      <c r="C1" s="3" t="s">
        <v>2</v>
      </c>
      <c r="D1" s="3" t="s">
        <v>3</v>
      </c>
      <c r="E1" s="4" t="s">
        <v>4</v>
      </c>
      <c r="F1" s="4" t="s">
        <v>14</v>
      </c>
      <c r="G1" s="4" t="s">
        <v>44</v>
      </c>
      <c r="H1" s="4" t="s">
        <v>17</v>
      </c>
      <c r="I1" s="3" t="s">
        <v>5</v>
      </c>
      <c r="J1" s="3" t="s">
        <v>6</v>
      </c>
      <c r="K1" s="86" t="s">
        <v>83</v>
      </c>
      <c r="L1" s="84" t="s">
        <v>79</v>
      </c>
      <c r="M1" s="85" t="s">
        <v>80</v>
      </c>
      <c r="N1" s="3" t="s">
        <v>7</v>
      </c>
      <c r="O1" s="3" t="s">
        <v>8</v>
      </c>
    </row>
    <row r="2" spans="1:15" x14ac:dyDescent="0.25">
      <c r="A2">
        <v>1</v>
      </c>
      <c r="B2" s="1" t="s">
        <v>49</v>
      </c>
      <c r="C2" s="1" t="s">
        <v>50</v>
      </c>
      <c r="D2" s="1" t="s">
        <v>51</v>
      </c>
      <c r="E2" s="1" t="s">
        <v>52</v>
      </c>
      <c r="F2" s="1" t="s">
        <v>77</v>
      </c>
      <c r="G2" s="1" t="s">
        <v>78</v>
      </c>
      <c r="H2" s="1" t="s">
        <v>62</v>
      </c>
      <c r="I2" s="1" t="s">
        <v>53</v>
      </c>
      <c r="J2" s="62" t="s">
        <v>54</v>
      </c>
      <c r="K2" s="1" t="s">
        <v>84</v>
      </c>
      <c r="L2" s="1" t="s">
        <v>81</v>
      </c>
      <c r="M2" s="1" t="s">
        <v>82</v>
      </c>
      <c r="N2" s="1" t="s">
        <v>9</v>
      </c>
    </row>
    <row r="3" spans="1:15" x14ac:dyDescent="0.25">
      <c r="A3">
        <v>2</v>
      </c>
      <c r="E3" s="1"/>
      <c r="F3" s="1"/>
      <c r="G3" s="1"/>
      <c r="H3" s="1"/>
      <c r="N3" s="1" t="s">
        <v>9</v>
      </c>
    </row>
    <row r="4" spans="1:15" x14ac:dyDescent="0.25">
      <c r="A4">
        <v>3</v>
      </c>
      <c r="E4" s="1"/>
      <c r="F4" s="1"/>
      <c r="G4" s="1"/>
      <c r="H4" s="1"/>
      <c r="N4" s="1" t="s">
        <v>9</v>
      </c>
    </row>
    <row r="5" spans="1:15" x14ac:dyDescent="0.25">
      <c r="A5">
        <v>4</v>
      </c>
      <c r="E5" s="1"/>
      <c r="F5" s="1"/>
      <c r="G5" s="1"/>
      <c r="H5" s="1"/>
      <c r="N5" s="1" t="s">
        <v>9</v>
      </c>
    </row>
    <row r="6" spans="1:15" x14ac:dyDescent="0.25">
      <c r="A6">
        <v>5</v>
      </c>
      <c r="E6" s="1"/>
      <c r="F6" s="1"/>
      <c r="G6" s="1"/>
      <c r="H6" s="1"/>
      <c r="N6" s="1" t="s">
        <v>9</v>
      </c>
    </row>
    <row r="7" spans="1:15" x14ac:dyDescent="0.25">
      <c r="A7">
        <v>6</v>
      </c>
      <c r="E7" s="1"/>
      <c r="F7" s="1"/>
      <c r="G7" s="1"/>
      <c r="H7" s="1"/>
      <c r="N7" s="1" t="s">
        <v>9</v>
      </c>
    </row>
    <row r="8" spans="1:15" x14ac:dyDescent="0.25">
      <c r="A8">
        <v>7</v>
      </c>
      <c r="N8" s="1" t="s">
        <v>9</v>
      </c>
    </row>
    <row r="9" spans="1:15" x14ac:dyDescent="0.25">
      <c r="A9">
        <v>8</v>
      </c>
      <c r="N9" s="1" t="s">
        <v>9</v>
      </c>
    </row>
    <row r="10" spans="1:15" x14ac:dyDescent="0.25">
      <c r="A10">
        <v>9</v>
      </c>
      <c r="N10" s="1" t="s">
        <v>9</v>
      </c>
    </row>
    <row r="11" spans="1:15" x14ac:dyDescent="0.25">
      <c r="A11">
        <v>10</v>
      </c>
      <c r="N11" s="1" t="s">
        <v>9</v>
      </c>
    </row>
    <row r="12" spans="1:15" x14ac:dyDescent="0.25">
      <c r="A12">
        <v>11</v>
      </c>
      <c r="N12" s="1" t="s">
        <v>9</v>
      </c>
    </row>
    <row r="13" spans="1:15" x14ac:dyDescent="0.25">
      <c r="A13">
        <v>12</v>
      </c>
      <c r="N13" s="1" t="s">
        <v>9</v>
      </c>
    </row>
    <row r="14" spans="1:15" x14ac:dyDescent="0.25">
      <c r="A14">
        <v>13</v>
      </c>
      <c r="N14" s="1" t="s">
        <v>9</v>
      </c>
    </row>
    <row r="15" spans="1:15" x14ac:dyDescent="0.25">
      <c r="A15">
        <v>14</v>
      </c>
      <c r="N15" s="1" t="s">
        <v>9</v>
      </c>
    </row>
    <row r="16" spans="1:15" x14ac:dyDescent="0.25">
      <c r="A16">
        <v>15</v>
      </c>
      <c r="N16" s="1" t="s">
        <v>9</v>
      </c>
    </row>
    <row r="17" spans="1:14" x14ac:dyDescent="0.25">
      <c r="A17">
        <v>16</v>
      </c>
      <c r="N17" s="1" t="s">
        <v>9</v>
      </c>
    </row>
    <row r="18" spans="1:14" x14ac:dyDescent="0.25">
      <c r="A18">
        <v>17</v>
      </c>
      <c r="N18" s="1" t="s">
        <v>9</v>
      </c>
    </row>
    <row r="19" spans="1:14" x14ac:dyDescent="0.25">
      <c r="A19">
        <v>18</v>
      </c>
      <c r="N19" s="1" t="s">
        <v>9</v>
      </c>
    </row>
    <row r="20" spans="1:14" x14ac:dyDescent="0.25">
      <c r="A20">
        <v>19</v>
      </c>
      <c r="N20" s="1" t="s">
        <v>9</v>
      </c>
    </row>
    <row r="21" spans="1:14" x14ac:dyDescent="0.25">
      <c r="A21">
        <v>20</v>
      </c>
      <c r="N21" s="1" t="s">
        <v>9</v>
      </c>
    </row>
    <row r="22" spans="1:14" x14ac:dyDescent="0.25">
      <c r="A22">
        <v>21</v>
      </c>
      <c r="N22" s="1" t="s">
        <v>9</v>
      </c>
    </row>
    <row r="23" spans="1:14" x14ac:dyDescent="0.25">
      <c r="A23">
        <v>22</v>
      </c>
      <c r="N23" s="1" t="s">
        <v>9</v>
      </c>
    </row>
    <row r="24" spans="1:14" x14ac:dyDescent="0.25">
      <c r="A24">
        <v>23</v>
      </c>
      <c r="N24" s="1" t="s">
        <v>9</v>
      </c>
    </row>
    <row r="25" spans="1:14" x14ac:dyDescent="0.25">
      <c r="A25">
        <v>24</v>
      </c>
    </row>
    <row r="26" spans="1:14" x14ac:dyDescent="0.25">
      <c r="A26">
        <v>25</v>
      </c>
    </row>
    <row r="27" spans="1:14" x14ac:dyDescent="0.25">
      <c r="A27">
        <v>26</v>
      </c>
    </row>
    <row r="28" spans="1:14" x14ac:dyDescent="0.25">
      <c r="A28">
        <v>27</v>
      </c>
    </row>
    <row r="29" spans="1:14" x14ac:dyDescent="0.25">
      <c r="A29">
        <v>28</v>
      </c>
    </row>
    <row r="30" spans="1:14" x14ac:dyDescent="0.25">
      <c r="A30">
        <v>29</v>
      </c>
    </row>
    <row r="31" spans="1:14" x14ac:dyDescent="0.25">
      <c r="A31">
        <v>30</v>
      </c>
    </row>
    <row r="32" spans="1:14" x14ac:dyDescent="0.25">
      <c r="A32">
        <v>31</v>
      </c>
    </row>
    <row r="33" spans="1:1" x14ac:dyDescent="0.25">
      <c r="A33">
        <v>32</v>
      </c>
    </row>
    <row r="34" spans="1:1" x14ac:dyDescent="0.25">
      <c r="A34">
        <v>33</v>
      </c>
    </row>
    <row r="35" spans="1:1" x14ac:dyDescent="0.25">
      <c r="A35">
        <v>34</v>
      </c>
    </row>
    <row r="36" spans="1:1" x14ac:dyDescent="0.25">
      <c r="A36">
        <v>35</v>
      </c>
    </row>
  </sheetData>
  <sheetProtection sheet="1" formatColumns="0" selectLockedCells="1"/>
  <pageMargins left="0.7" right="0.7" top="0.78740157500000008" bottom="0.78740157500000008"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WM70"/>
  <sheetViews>
    <sheetView showZeros="0" tabSelected="1" zoomScaleNormal="100" workbookViewId="0">
      <selection activeCell="F2" sqref="F2"/>
    </sheetView>
  </sheetViews>
  <sheetFormatPr baseColWidth="10" defaultColWidth="0" defaultRowHeight="12.75" zeroHeight="1" x14ac:dyDescent="0.2"/>
  <cols>
    <col min="1" max="1" width="23.7109375" style="5" customWidth="1"/>
    <col min="2" max="2" width="27.42578125" style="5" customWidth="1"/>
    <col min="3" max="3" width="11.42578125" style="6" customWidth="1"/>
    <col min="4" max="18" width="14" style="6" customWidth="1"/>
    <col min="19" max="19" width="22.28515625" style="7" customWidth="1"/>
    <col min="20" max="20" width="16.85546875" style="5" customWidth="1"/>
    <col min="21" max="21" width="2.7109375" style="5" customWidth="1"/>
    <col min="22" max="22" width="4.85546875" style="5" customWidth="1"/>
    <col min="23" max="23" width="5.28515625" style="6" customWidth="1"/>
    <col min="24" max="24" width="5.7109375" style="8" customWidth="1"/>
    <col min="25" max="25" width="2.7109375" style="5" customWidth="1"/>
    <col min="26" max="26" width="3" style="5" customWidth="1"/>
    <col min="27" max="27" width="6.42578125" style="5" hidden="1" customWidth="1"/>
    <col min="28" max="28" width="5.140625" style="5" hidden="1" customWidth="1"/>
    <col min="29" max="29" width="6.85546875" style="8" hidden="1" customWidth="1"/>
    <col min="30" max="30" width="17.7109375" style="5" hidden="1" customWidth="1"/>
    <col min="31" max="31" width="16" style="5" hidden="1" customWidth="1"/>
    <col min="32" max="32" width="17.7109375" style="5" hidden="1" customWidth="1"/>
    <col min="33" max="257" width="11.42578125" style="5" hidden="1" customWidth="1"/>
    <col min="258" max="258" width="15.42578125" style="5" hidden="1" customWidth="1"/>
    <col min="259" max="259" width="11.42578125" style="5" hidden="1" customWidth="1"/>
    <col min="260" max="260" width="15.7109375" style="5" hidden="1" customWidth="1"/>
    <col min="261" max="261" width="21.85546875" style="5" hidden="1" customWidth="1"/>
    <col min="262" max="264" width="11.42578125" style="5" hidden="1" customWidth="1"/>
    <col min="265" max="265" width="16" style="5" hidden="1" customWidth="1"/>
    <col min="266" max="266" width="20.42578125" style="5" hidden="1" customWidth="1"/>
    <col min="267" max="513" width="11.42578125" style="5" hidden="1" customWidth="1"/>
    <col min="514" max="514" width="15.42578125" style="5" hidden="1" customWidth="1"/>
    <col min="515" max="515" width="11.42578125" style="5" hidden="1" customWidth="1"/>
    <col min="516" max="516" width="15.7109375" style="5" hidden="1" customWidth="1"/>
    <col min="517" max="517" width="21.85546875" style="5" hidden="1" customWidth="1"/>
    <col min="518" max="520" width="11.42578125" style="5" hidden="1" customWidth="1"/>
    <col min="521" max="521" width="16" style="5" hidden="1" customWidth="1"/>
    <col min="522" max="522" width="20.42578125" style="5" hidden="1" customWidth="1"/>
    <col min="523" max="769" width="11.42578125" style="5" hidden="1" customWidth="1"/>
    <col min="770" max="770" width="15.42578125" style="5" hidden="1" customWidth="1"/>
    <col min="771" max="771" width="11.42578125" style="5" hidden="1" customWidth="1"/>
    <col min="772" max="772" width="15.7109375" style="5" hidden="1" customWidth="1"/>
    <col min="773" max="773" width="21.85546875" style="5" hidden="1" customWidth="1"/>
    <col min="774" max="776" width="11.42578125" style="5" hidden="1" customWidth="1"/>
    <col min="777" max="777" width="16" style="5" hidden="1" customWidth="1"/>
    <col min="778" max="778" width="20.42578125" style="5" hidden="1" customWidth="1"/>
    <col min="779" max="1025" width="11.42578125" style="5" hidden="1" customWidth="1"/>
    <col min="1026" max="1026" width="15.42578125" style="5" hidden="1" customWidth="1"/>
    <col min="1027" max="1027" width="11.42578125" style="5" hidden="1" customWidth="1"/>
    <col min="1028" max="1028" width="15.7109375" style="5" hidden="1" customWidth="1"/>
    <col min="1029" max="1029" width="21.85546875" style="5" hidden="1" customWidth="1"/>
    <col min="1030" max="1032" width="11.42578125" style="5" hidden="1" customWidth="1"/>
    <col min="1033" max="1033" width="16" style="5" hidden="1" customWidth="1"/>
    <col min="1034" max="1034" width="20.42578125" style="5" hidden="1" customWidth="1"/>
    <col min="1035" max="1281" width="11.42578125" style="5" hidden="1" customWidth="1"/>
    <col min="1282" max="1282" width="15.42578125" style="5" hidden="1" customWidth="1"/>
    <col min="1283" max="1283" width="11.42578125" style="5" hidden="1" customWidth="1"/>
    <col min="1284" max="1284" width="15.7109375" style="5" hidden="1" customWidth="1"/>
    <col min="1285" max="1285" width="21.85546875" style="5" hidden="1" customWidth="1"/>
    <col min="1286" max="1288" width="11.42578125" style="5" hidden="1" customWidth="1"/>
    <col min="1289" max="1289" width="16" style="5" hidden="1" customWidth="1"/>
    <col min="1290" max="1290" width="20.42578125" style="5" hidden="1" customWidth="1"/>
    <col min="1291" max="1537" width="11.42578125" style="5" hidden="1" customWidth="1"/>
    <col min="1538" max="1538" width="15.42578125" style="5" hidden="1" customWidth="1"/>
    <col min="1539" max="1539" width="11.42578125" style="5" hidden="1" customWidth="1"/>
    <col min="1540" max="1540" width="15.7109375" style="5" hidden="1" customWidth="1"/>
    <col min="1541" max="1541" width="21.85546875" style="5" hidden="1" customWidth="1"/>
    <col min="1542" max="1544" width="11.42578125" style="5" hidden="1" customWidth="1"/>
    <col min="1545" max="1545" width="16" style="5" hidden="1" customWidth="1"/>
    <col min="1546" max="1546" width="20.42578125" style="5" hidden="1" customWidth="1"/>
    <col min="1547" max="1793" width="11.42578125" style="5" hidden="1" customWidth="1"/>
    <col min="1794" max="1794" width="15.42578125" style="5" hidden="1" customWidth="1"/>
    <col min="1795" max="1795" width="11.42578125" style="5" hidden="1" customWidth="1"/>
    <col min="1796" max="1796" width="15.7109375" style="5" hidden="1" customWidth="1"/>
    <col min="1797" max="1797" width="21.85546875" style="5" hidden="1" customWidth="1"/>
    <col min="1798" max="1800" width="11.42578125" style="5" hidden="1" customWidth="1"/>
    <col min="1801" max="1801" width="16" style="5" hidden="1" customWidth="1"/>
    <col min="1802" max="1802" width="20.42578125" style="5" hidden="1" customWidth="1"/>
    <col min="1803" max="2049" width="11.42578125" style="5" hidden="1" customWidth="1"/>
    <col min="2050" max="2050" width="15.42578125" style="5" hidden="1" customWidth="1"/>
    <col min="2051" max="2051" width="11.42578125" style="5" hidden="1" customWidth="1"/>
    <col min="2052" max="2052" width="15.7109375" style="5" hidden="1" customWidth="1"/>
    <col min="2053" max="2053" width="21.85546875" style="5" hidden="1" customWidth="1"/>
    <col min="2054" max="2056" width="11.42578125" style="5" hidden="1" customWidth="1"/>
    <col min="2057" max="2057" width="16" style="5" hidden="1" customWidth="1"/>
    <col min="2058" max="2058" width="20.42578125" style="5" hidden="1" customWidth="1"/>
    <col min="2059" max="2305" width="11.42578125" style="5" hidden="1" customWidth="1"/>
    <col min="2306" max="2306" width="15.42578125" style="5" hidden="1" customWidth="1"/>
    <col min="2307" max="2307" width="11.42578125" style="5" hidden="1" customWidth="1"/>
    <col min="2308" max="2308" width="15.7109375" style="5" hidden="1" customWidth="1"/>
    <col min="2309" max="2309" width="21.85546875" style="5" hidden="1" customWidth="1"/>
    <col min="2310" max="2312" width="11.42578125" style="5" hidden="1" customWidth="1"/>
    <col min="2313" max="2313" width="16" style="5" hidden="1" customWidth="1"/>
    <col min="2314" max="2314" width="20.42578125" style="5" hidden="1" customWidth="1"/>
    <col min="2315" max="2561" width="11.42578125" style="5" hidden="1" customWidth="1"/>
    <col min="2562" max="2562" width="15.42578125" style="5" hidden="1" customWidth="1"/>
    <col min="2563" max="2563" width="11.42578125" style="5" hidden="1" customWidth="1"/>
    <col min="2564" max="2564" width="15.7109375" style="5" hidden="1" customWidth="1"/>
    <col min="2565" max="2565" width="21.85546875" style="5" hidden="1" customWidth="1"/>
    <col min="2566" max="2568" width="11.42578125" style="5" hidden="1" customWidth="1"/>
    <col min="2569" max="2569" width="16" style="5" hidden="1" customWidth="1"/>
    <col min="2570" max="2570" width="20.42578125" style="5" hidden="1" customWidth="1"/>
    <col min="2571" max="2817" width="11.42578125" style="5" hidden="1" customWidth="1"/>
    <col min="2818" max="2818" width="15.42578125" style="5" hidden="1" customWidth="1"/>
    <col min="2819" max="2819" width="11.42578125" style="5" hidden="1" customWidth="1"/>
    <col min="2820" max="2820" width="15.7109375" style="5" hidden="1" customWidth="1"/>
    <col min="2821" max="2821" width="21.85546875" style="5" hidden="1" customWidth="1"/>
    <col min="2822" max="2824" width="11.42578125" style="5" hidden="1" customWidth="1"/>
    <col min="2825" max="2825" width="16" style="5" hidden="1" customWidth="1"/>
    <col min="2826" max="2826" width="20.42578125" style="5" hidden="1" customWidth="1"/>
    <col min="2827" max="3073" width="11.42578125" style="5" hidden="1" customWidth="1"/>
    <col min="3074" max="3074" width="15.42578125" style="5" hidden="1" customWidth="1"/>
    <col min="3075" max="3075" width="11.42578125" style="5" hidden="1" customWidth="1"/>
    <col min="3076" max="3076" width="15.7109375" style="5" hidden="1" customWidth="1"/>
    <col min="3077" max="3077" width="21.85546875" style="5" hidden="1" customWidth="1"/>
    <col min="3078" max="3080" width="11.42578125" style="5" hidden="1" customWidth="1"/>
    <col min="3081" max="3081" width="16" style="5" hidden="1" customWidth="1"/>
    <col min="3082" max="3082" width="20.42578125" style="5" hidden="1" customWidth="1"/>
    <col min="3083" max="3329" width="11.42578125" style="5" hidden="1" customWidth="1"/>
    <col min="3330" max="3330" width="15.42578125" style="5" hidden="1" customWidth="1"/>
    <col min="3331" max="3331" width="11.42578125" style="5" hidden="1" customWidth="1"/>
    <col min="3332" max="3332" width="15.7109375" style="5" hidden="1" customWidth="1"/>
    <col min="3333" max="3333" width="21.85546875" style="5" hidden="1" customWidth="1"/>
    <col min="3334" max="3336" width="11.42578125" style="5" hidden="1" customWidth="1"/>
    <col min="3337" max="3337" width="16" style="5" hidden="1" customWidth="1"/>
    <col min="3338" max="3338" width="20.42578125" style="5" hidden="1" customWidth="1"/>
    <col min="3339" max="3585" width="11.42578125" style="5" hidden="1" customWidth="1"/>
    <col min="3586" max="3586" width="15.42578125" style="5" hidden="1" customWidth="1"/>
    <col min="3587" max="3587" width="11.42578125" style="5" hidden="1" customWidth="1"/>
    <col min="3588" max="3588" width="15.7109375" style="5" hidden="1" customWidth="1"/>
    <col min="3589" max="3589" width="21.85546875" style="5" hidden="1" customWidth="1"/>
    <col min="3590" max="3592" width="11.42578125" style="5" hidden="1" customWidth="1"/>
    <col min="3593" max="3593" width="16" style="5" hidden="1" customWidth="1"/>
    <col min="3594" max="3594" width="20.42578125" style="5" hidden="1" customWidth="1"/>
    <col min="3595" max="3841" width="11.42578125" style="5" hidden="1" customWidth="1"/>
    <col min="3842" max="3842" width="15.42578125" style="5" hidden="1" customWidth="1"/>
    <col min="3843" max="3843" width="11.42578125" style="5" hidden="1" customWidth="1"/>
    <col min="3844" max="3844" width="15.7109375" style="5" hidden="1" customWidth="1"/>
    <col min="3845" max="3845" width="21.85546875" style="5" hidden="1" customWidth="1"/>
    <col min="3846" max="3848" width="11.42578125" style="5" hidden="1" customWidth="1"/>
    <col min="3849" max="3849" width="16" style="5" hidden="1" customWidth="1"/>
    <col min="3850" max="3850" width="20.42578125" style="5" hidden="1" customWidth="1"/>
    <col min="3851" max="4097" width="11.42578125" style="5" hidden="1" customWidth="1"/>
    <col min="4098" max="4098" width="15.42578125" style="5" hidden="1" customWidth="1"/>
    <col min="4099" max="4099" width="11.42578125" style="5" hidden="1" customWidth="1"/>
    <col min="4100" max="4100" width="15.7109375" style="5" hidden="1" customWidth="1"/>
    <col min="4101" max="4101" width="21.85546875" style="5" hidden="1" customWidth="1"/>
    <col min="4102" max="4104" width="11.42578125" style="5" hidden="1" customWidth="1"/>
    <col min="4105" max="4105" width="16" style="5" hidden="1" customWidth="1"/>
    <col min="4106" max="4106" width="20.42578125" style="5" hidden="1" customWidth="1"/>
    <col min="4107" max="4353" width="11.42578125" style="5" hidden="1" customWidth="1"/>
    <col min="4354" max="4354" width="15.42578125" style="5" hidden="1" customWidth="1"/>
    <col min="4355" max="4355" width="11.42578125" style="5" hidden="1" customWidth="1"/>
    <col min="4356" max="4356" width="15.7109375" style="5" hidden="1" customWidth="1"/>
    <col min="4357" max="4357" width="21.85546875" style="5" hidden="1" customWidth="1"/>
    <col min="4358" max="4360" width="11.42578125" style="5" hidden="1" customWidth="1"/>
    <col min="4361" max="4361" width="16" style="5" hidden="1" customWidth="1"/>
    <col min="4362" max="4362" width="20.42578125" style="5" hidden="1" customWidth="1"/>
    <col min="4363" max="4609" width="11.42578125" style="5" hidden="1" customWidth="1"/>
    <col min="4610" max="4610" width="15.42578125" style="5" hidden="1" customWidth="1"/>
    <col min="4611" max="4611" width="11.42578125" style="5" hidden="1" customWidth="1"/>
    <col min="4612" max="4612" width="15.7109375" style="5" hidden="1" customWidth="1"/>
    <col min="4613" max="4613" width="21.85546875" style="5" hidden="1" customWidth="1"/>
    <col min="4614" max="4616" width="11.42578125" style="5" hidden="1" customWidth="1"/>
    <col min="4617" max="4617" width="16" style="5" hidden="1" customWidth="1"/>
    <col min="4618" max="4618" width="20.42578125" style="5" hidden="1" customWidth="1"/>
    <col min="4619" max="4865" width="11.42578125" style="5" hidden="1" customWidth="1"/>
    <col min="4866" max="4866" width="15.42578125" style="5" hidden="1" customWidth="1"/>
    <col min="4867" max="4867" width="11.42578125" style="5" hidden="1" customWidth="1"/>
    <col min="4868" max="4868" width="15.7109375" style="5" hidden="1" customWidth="1"/>
    <col min="4869" max="4869" width="21.85546875" style="5" hidden="1" customWidth="1"/>
    <col min="4870" max="4872" width="11.42578125" style="5" hidden="1" customWidth="1"/>
    <col min="4873" max="4873" width="16" style="5" hidden="1" customWidth="1"/>
    <col min="4874" max="4874" width="20.42578125" style="5" hidden="1" customWidth="1"/>
    <col min="4875" max="5121" width="11.42578125" style="5" hidden="1" customWidth="1"/>
    <col min="5122" max="5122" width="15.42578125" style="5" hidden="1" customWidth="1"/>
    <col min="5123" max="5123" width="11.42578125" style="5" hidden="1" customWidth="1"/>
    <col min="5124" max="5124" width="15.7109375" style="5" hidden="1" customWidth="1"/>
    <col min="5125" max="5125" width="21.85546875" style="5" hidden="1" customWidth="1"/>
    <col min="5126" max="5128" width="11.42578125" style="5" hidden="1" customWidth="1"/>
    <col min="5129" max="5129" width="16" style="5" hidden="1" customWidth="1"/>
    <col min="5130" max="5130" width="20.42578125" style="5" hidden="1" customWidth="1"/>
    <col min="5131" max="5377" width="11.42578125" style="5" hidden="1" customWidth="1"/>
    <col min="5378" max="5378" width="15.42578125" style="5" hidden="1" customWidth="1"/>
    <col min="5379" max="5379" width="11.42578125" style="5" hidden="1" customWidth="1"/>
    <col min="5380" max="5380" width="15.7109375" style="5" hidden="1" customWidth="1"/>
    <col min="5381" max="5381" width="21.85546875" style="5" hidden="1" customWidth="1"/>
    <col min="5382" max="5384" width="11.42578125" style="5" hidden="1" customWidth="1"/>
    <col min="5385" max="5385" width="16" style="5" hidden="1" customWidth="1"/>
    <col min="5386" max="5386" width="20.42578125" style="5" hidden="1" customWidth="1"/>
    <col min="5387" max="5633" width="11.42578125" style="5" hidden="1" customWidth="1"/>
    <col min="5634" max="5634" width="15.42578125" style="5" hidden="1" customWidth="1"/>
    <col min="5635" max="5635" width="11.42578125" style="5" hidden="1" customWidth="1"/>
    <col min="5636" max="5636" width="15.7109375" style="5" hidden="1" customWidth="1"/>
    <col min="5637" max="5637" width="21.85546875" style="5" hidden="1" customWidth="1"/>
    <col min="5638" max="5640" width="11.42578125" style="5" hidden="1" customWidth="1"/>
    <col min="5641" max="5641" width="16" style="5" hidden="1" customWidth="1"/>
    <col min="5642" max="5642" width="20.42578125" style="5" hidden="1" customWidth="1"/>
    <col min="5643" max="5889" width="11.42578125" style="5" hidden="1" customWidth="1"/>
    <col min="5890" max="5890" width="15.42578125" style="5" hidden="1" customWidth="1"/>
    <col min="5891" max="5891" width="11.42578125" style="5" hidden="1" customWidth="1"/>
    <col min="5892" max="5892" width="15.7109375" style="5" hidden="1" customWidth="1"/>
    <col min="5893" max="5893" width="21.85546875" style="5" hidden="1" customWidth="1"/>
    <col min="5894" max="5896" width="11.42578125" style="5" hidden="1" customWidth="1"/>
    <col min="5897" max="5897" width="16" style="5" hidden="1" customWidth="1"/>
    <col min="5898" max="5898" width="20.42578125" style="5" hidden="1" customWidth="1"/>
    <col min="5899" max="6145" width="11.42578125" style="5" hidden="1" customWidth="1"/>
    <col min="6146" max="6146" width="15.42578125" style="5" hidden="1" customWidth="1"/>
    <col min="6147" max="6147" width="11.42578125" style="5" hidden="1" customWidth="1"/>
    <col min="6148" max="6148" width="15.7109375" style="5" hidden="1" customWidth="1"/>
    <col min="6149" max="6149" width="21.85546875" style="5" hidden="1" customWidth="1"/>
    <col min="6150" max="6152" width="11.42578125" style="5" hidden="1" customWidth="1"/>
    <col min="6153" max="6153" width="16" style="5" hidden="1" customWidth="1"/>
    <col min="6154" max="6154" width="20.42578125" style="5" hidden="1" customWidth="1"/>
    <col min="6155" max="6401" width="11.42578125" style="5" hidden="1" customWidth="1"/>
    <col min="6402" max="6402" width="15.42578125" style="5" hidden="1" customWidth="1"/>
    <col min="6403" max="6403" width="11.42578125" style="5" hidden="1" customWidth="1"/>
    <col min="6404" max="6404" width="15.7109375" style="5" hidden="1" customWidth="1"/>
    <col min="6405" max="6405" width="21.85546875" style="5" hidden="1" customWidth="1"/>
    <col min="6406" max="6408" width="11.42578125" style="5" hidden="1" customWidth="1"/>
    <col min="6409" max="6409" width="16" style="5" hidden="1" customWidth="1"/>
    <col min="6410" max="6410" width="20.42578125" style="5" hidden="1" customWidth="1"/>
    <col min="6411" max="6657" width="11.42578125" style="5" hidden="1" customWidth="1"/>
    <col min="6658" max="6658" width="15.42578125" style="5" hidden="1" customWidth="1"/>
    <col min="6659" max="6659" width="11.42578125" style="5" hidden="1" customWidth="1"/>
    <col min="6660" max="6660" width="15.7109375" style="5" hidden="1" customWidth="1"/>
    <col min="6661" max="6661" width="21.85546875" style="5" hidden="1" customWidth="1"/>
    <col min="6662" max="6664" width="11.42578125" style="5" hidden="1" customWidth="1"/>
    <col min="6665" max="6665" width="16" style="5" hidden="1" customWidth="1"/>
    <col min="6666" max="6666" width="20.42578125" style="5" hidden="1" customWidth="1"/>
    <col min="6667" max="6913" width="11.42578125" style="5" hidden="1" customWidth="1"/>
    <col min="6914" max="6914" width="15.42578125" style="5" hidden="1" customWidth="1"/>
    <col min="6915" max="6915" width="11.42578125" style="5" hidden="1" customWidth="1"/>
    <col min="6916" max="6916" width="15.7109375" style="5" hidden="1" customWidth="1"/>
    <col min="6917" max="6917" width="21.85546875" style="5" hidden="1" customWidth="1"/>
    <col min="6918" max="6920" width="11.42578125" style="5" hidden="1" customWidth="1"/>
    <col min="6921" max="6921" width="16" style="5" hidden="1" customWidth="1"/>
    <col min="6922" max="6922" width="20.42578125" style="5" hidden="1" customWidth="1"/>
    <col min="6923" max="7169" width="11.42578125" style="5" hidden="1" customWidth="1"/>
    <col min="7170" max="7170" width="15.42578125" style="5" hidden="1" customWidth="1"/>
    <col min="7171" max="7171" width="11.42578125" style="5" hidden="1" customWidth="1"/>
    <col min="7172" max="7172" width="15.7109375" style="5" hidden="1" customWidth="1"/>
    <col min="7173" max="7173" width="21.85546875" style="5" hidden="1" customWidth="1"/>
    <col min="7174" max="7176" width="11.42578125" style="5" hidden="1" customWidth="1"/>
    <col min="7177" max="7177" width="16" style="5" hidden="1" customWidth="1"/>
    <col min="7178" max="7178" width="20.42578125" style="5" hidden="1" customWidth="1"/>
    <col min="7179" max="7425" width="11.42578125" style="5" hidden="1" customWidth="1"/>
    <col min="7426" max="7426" width="15.42578125" style="5" hidden="1" customWidth="1"/>
    <col min="7427" max="7427" width="11.42578125" style="5" hidden="1" customWidth="1"/>
    <col min="7428" max="7428" width="15.7109375" style="5" hidden="1" customWidth="1"/>
    <col min="7429" max="7429" width="21.85546875" style="5" hidden="1" customWidth="1"/>
    <col min="7430" max="7432" width="11.42578125" style="5" hidden="1" customWidth="1"/>
    <col min="7433" max="7433" width="16" style="5" hidden="1" customWidth="1"/>
    <col min="7434" max="7434" width="20.42578125" style="5" hidden="1" customWidth="1"/>
    <col min="7435" max="7681" width="11.42578125" style="5" hidden="1" customWidth="1"/>
    <col min="7682" max="7682" width="15.42578125" style="5" hidden="1" customWidth="1"/>
    <col min="7683" max="7683" width="11.42578125" style="5" hidden="1" customWidth="1"/>
    <col min="7684" max="7684" width="15.7109375" style="5" hidden="1" customWidth="1"/>
    <col min="7685" max="7685" width="21.85546875" style="5" hidden="1" customWidth="1"/>
    <col min="7686" max="7688" width="11.42578125" style="5" hidden="1" customWidth="1"/>
    <col min="7689" max="7689" width="16" style="5" hidden="1" customWidth="1"/>
    <col min="7690" max="7690" width="20.42578125" style="5" hidden="1" customWidth="1"/>
    <col min="7691" max="7937" width="11.42578125" style="5" hidden="1" customWidth="1"/>
    <col min="7938" max="7938" width="15.42578125" style="5" hidden="1" customWidth="1"/>
    <col min="7939" max="7939" width="11.42578125" style="5" hidden="1" customWidth="1"/>
    <col min="7940" max="7940" width="15.7109375" style="5" hidden="1" customWidth="1"/>
    <col min="7941" max="7941" width="21.85546875" style="5" hidden="1" customWidth="1"/>
    <col min="7942" max="7944" width="11.42578125" style="5" hidden="1" customWidth="1"/>
    <col min="7945" max="7945" width="16" style="5" hidden="1" customWidth="1"/>
    <col min="7946" max="7946" width="20.42578125" style="5" hidden="1" customWidth="1"/>
    <col min="7947" max="8193" width="11.42578125" style="5" hidden="1" customWidth="1"/>
    <col min="8194" max="8194" width="15.42578125" style="5" hidden="1" customWidth="1"/>
    <col min="8195" max="8195" width="11.42578125" style="5" hidden="1" customWidth="1"/>
    <col min="8196" max="8196" width="15.7109375" style="5" hidden="1" customWidth="1"/>
    <col min="8197" max="8197" width="21.85546875" style="5" hidden="1" customWidth="1"/>
    <col min="8198" max="8200" width="11.42578125" style="5" hidden="1" customWidth="1"/>
    <col min="8201" max="8201" width="16" style="5" hidden="1" customWidth="1"/>
    <col min="8202" max="8202" width="20.42578125" style="5" hidden="1" customWidth="1"/>
    <col min="8203" max="8449" width="11.42578125" style="5" hidden="1" customWidth="1"/>
    <col min="8450" max="8450" width="15.42578125" style="5" hidden="1" customWidth="1"/>
    <col min="8451" max="8451" width="11.42578125" style="5" hidden="1" customWidth="1"/>
    <col min="8452" max="8452" width="15.7109375" style="5" hidden="1" customWidth="1"/>
    <col min="8453" max="8453" width="21.85546875" style="5" hidden="1" customWidth="1"/>
    <col min="8454" max="8456" width="11.42578125" style="5" hidden="1" customWidth="1"/>
    <col min="8457" max="8457" width="16" style="5" hidden="1" customWidth="1"/>
    <col min="8458" max="8458" width="20.42578125" style="5" hidden="1" customWidth="1"/>
    <col min="8459" max="8705" width="11.42578125" style="5" hidden="1" customWidth="1"/>
    <col min="8706" max="8706" width="15.42578125" style="5" hidden="1" customWidth="1"/>
    <col min="8707" max="8707" width="11.42578125" style="5" hidden="1" customWidth="1"/>
    <col min="8708" max="8708" width="15.7109375" style="5" hidden="1" customWidth="1"/>
    <col min="8709" max="8709" width="21.85546875" style="5" hidden="1" customWidth="1"/>
    <col min="8710" max="8712" width="11.42578125" style="5" hidden="1" customWidth="1"/>
    <col min="8713" max="8713" width="16" style="5" hidden="1" customWidth="1"/>
    <col min="8714" max="8714" width="20.42578125" style="5" hidden="1" customWidth="1"/>
    <col min="8715" max="8961" width="11.42578125" style="5" hidden="1" customWidth="1"/>
    <col min="8962" max="8962" width="15.42578125" style="5" hidden="1" customWidth="1"/>
    <col min="8963" max="8963" width="11.42578125" style="5" hidden="1" customWidth="1"/>
    <col min="8964" max="8964" width="15.7109375" style="5" hidden="1" customWidth="1"/>
    <col min="8965" max="8965" width="21.85546875" style="5" hidden="1" customWidth="1"/>
    <col min="8966" max="8968" width="11.42578125" style="5" hidden="1" customWidth="1"/>
    <col min="8969" max="8969" width="16" style="5" hidden="1" customWidth="1"/>
    <col min="8970" max="8970" width="20.42578125" style="5" hidden="1" customWidth="1"/>
    <col min="8971" max="9217" width="11.42578125" style="5" hidden="1" customWidth="1"/>
    <col min="9218" max="9218" width="15.42578125" style="5" hidden="1" customWidth="1"/>
    <col min="9219" max="9219" width="11.42578125" style="5" hidden="1" customWidth="1"/>
    <col min="9220" max="9220" width="15.7109375" style="5" hidden="1" customWidth="1"/>
    <col min="9221" max="9221" width="21.85546875" style="5" hidden="1" customWidth="1"/>
    <col min="9222" max="9224" width="11.42578125" style="5" hidden="1" customWidth="1"/>
    <col min="9225" max="9225" width="16" style="5" hidden="1" customWidth="1"/>
    <col min="9226" max="9226" width="20.42578125" style="5" hidden="1" customWidth="1"/>
    <col min="9227" max="9473" width="11.42578125" style="5" hidden="1" customWidth="1"/>
    <col min="9474" max="9474" width="15.42578125" style="5" hidden="1" customWidth="1"/>
    <col min="9475" max="9475" width="11.42578125" style="5" hidden="1" customWidth="1"/>
    <col min="9476" max="9476" width="15.7109375" style="5" hidden="1" customWidth="1"/>
    <col min="9477" max="9477" width="21.85546875" style="5" hidden="1" customWidth="1"/>
    <col min="9478" max="9480" width="11.42578125" style="5" hidden="1" customWidth="1"/>
    <col min="9481" max="9481" width="16" style="5" hidden="1" customWidth="1"/>
    <col min="9482" max="9482" width="20.42578125" style="5" hidden="1" customWidth="1"/>
    <col min="9483" max="9729" width="11.42578125" style="5" hidden="1" customWidth="1"/>
    <col min="9730" max="9730" width="15.42578125" style="5" hidden="1" customWidth="1"/>
    <col min="9731" max="9731" width="11.42578125" style="5" hidden="1" customWidth="1"/>
    <col min="9732" max="9732" width="15.7109375" style="5" hidden="1" customWidth="1"/>
    <col min="9733" max="9733" width="21.85546875" style="5" hidden="1" customWidth="1"/>
    <col min="9734" max="9736" width="11.42578125" style="5" hidden="1" customWidth="1"/>
    <col min="9737" max="9737" width="16" style="5" hidden="1" customWidth="1"/>
    <col min="9738" max="9738" width="20.42578125" style="5" hidden="1" customWidth="1"/>
    <col min="9739" max="9985" width="11.42578125" style="5" hidden="1" customWidth="1"/>
    <col min="9986" max="9986" width="15.42578125" style="5" hidden="1" customWidth="1"/>
    <col min="9987" max="9987" width="11.42578125" style="5" hidden="1" customWidth="1"/>
    <col min="9988" max="9988" width="15.7109375" style="5" hidden="1" customWidth="1"/>
    <col min="9989" max="9989" width="21.85546875" style="5" hidden="1" customWidth="1"/>
    <col min="9990" max="9992" width="11.42578125" style="5" hidden="1" customWidth="1"/>
    <col min="9993" max="9993" width="16" style="5" hidden="1" customWidth="1"/>
    <col min="9994" max="9994" width="20.42578125" style="5" hidden="1" customWidth="1"/>
    <col min="9995" max="10241" width="11.42578125" style="5" hidden="1" customWidth="1"/>
    <col min="10242" max="10242" width="15.42578125" style="5" hidden="1" customWidth="1"/>
    <col min="10243" max="10243" width="11.42578125" style="5" hidden="1" customWidth="1"/>
    <col min="10244" max="10244" width="15.7109375" style="5" hidden="1" customWidth="1"/>
    <col min="10245" max="10245" width="21.85546875" style="5" hidden="1" customWidth="1"/>
    <col min="10246" max="10248" width="11.42578125" style="5" hidden="1" customWidth="1"/>
    <col min="10249" max="10249" width="16" style="5" hidden="1" customWidth="1"/>
    <col min="10250" max="10250" width="20.42578125" style="5" hidden="1" customWidth="1"/>
    <col min="10251" max="10497" width="11.42578125" style="5" hidden="1" customWidth="1"/>
    <col min="10498" max="10498" width="15.42578125" style="5" hidden="1" customWidth="1"/>
    <col min="10499" max="10499" width="11.42578125" style="5" hidden="1" customWidth="1"/>
    <col min="10500" max="10500" width="15.7109375" style="5" hidden="1" customWidth="1"/>
    <col min="10501" max="10501" width="21.85546875" style="5" hidden="1" customWidth="1"/>
    <col min="10502" max="10504" width="11.42578125" style="5" hidden="1" customWidth="1"/>
    <col min="10505" max="10505" width="16" style="5" hidden="1" customWidth="1"/>
    <col min="10506" max="10506" width="20.42578125" style="5" hidden="1" customWidth="1"/>
    <col min="10507" max="10753" width="11.42578125" style="5" hidden="1" customWidth="1"/>
    <col min="10754" max="10754" width="15.42578125" style="5" hidden="1" customWidth="1"/>
    <col min="10755" max="10755" width="11.42578125" style="5" hidden="1" customWidth="1"/>
    <col min="10756" max="10756" width="15.7109375" style="5" hidden="1" customWidth="1"/>
    <col min="10757" max="10757" width="21.85546875" style="5" hidden="1" customWidth="1"/>
    <col min="10758" max="10760" width="11.42578125" style="5" hidden="1" customWidth="1"/>
    <col min="10761" max="10761" width="16" style="5" hidden="1" customWidth="1"/>
    <col min="10762" max="10762" width="20.42578125" style="5" hidden="1" customWidth="1"/>
    <col min="10763" max="11009" width="11.42578125" style="5" hidden="1" customWidth="1"/>
    <col min="11010" max="11010" width="15.42578125" style="5" hidden="1" customWidth="1"/>
    <col min="11011" max="11011" width="11.42578125" style="5" hidden="1" customWidth="1"/>
    <col min="11012" max="11012" width="15.7109375" style="5" hidden="1" customWidth="1"/>
    <col min="11013" max="11013" width="21.85546875" style="5" hidden="1" customWidth="1"/>
    <col min="11014" max="11016" width="11.42578125" style="5" hidden="1" customWidth="1"/>
    <col min="11017" max="11017" width="16" style="5" hidden="1" customWidth="1"/>
    <col min="11018" max="11018" width="20.42578125" style="5" hidden="1" customWidth="1"/>
    <col min="11019" max="11265" width="11.42578125" style="5" hidden="1" customWidth="1"/>
    <col min="11266" max="11266" width="15.42578125" style="5" hidden="1" customWidth="1"/>
    <col min="11267" max="11267" width="11.42578125" style="5" hidden="1" customWidth="1"/>
    <col min="11268" max="11268" width="15.7109375" style="5" hidden="1" customWidth="1"/>
    <col min="11269" max="11269" width="21.85546875" style="5" hidden="1" customWidth="1"/>
    <col min="11270" max="11272" width="11.42578125" style="5" hidden="1" customWidth="1"/>
    <col min="11273" max="11273" width="16" style="5" hidden="1" customWidth="1"/>
    <col min="11274" max="11274" width="20.42578125" style="5" hidden="1" customWidth="1"/>
    <col min="11275" max="11521" width="11.42578125" style="5" hidden="1" customWidth="1"/>
    <col min="11522" max="11522" width="15.42578125" style="5" hidden="1" customWidth="1"/>
    <col min="11523" max="11523" width="11.42578125" style="5" hidden="1" customWidth="1"/>
    <col min="11524" max="11524" width="15.7109375" style="5" hidden="1" customWidth="1"/>
    <col min="11525" max="11525" width="21.85546875" style="5" hidden="1" customWidth="1"/>
    <col min="11526" max="11528" width="11.42578125" style="5" hidden="1" customWidth="1"/>
    <col min="11529" max="11529" width="16" style="5" hidden="1" customWidth="1"/>
    <col min="11530" max="11530" width="20.42578125" style="5" hidden="1" customWidth="1"/>
    <col min="11531" max="11777" width="11.42578125" style="5" hidden="1" customWidth="1"/>
    <col min="11778" max="11778" width="15.42578125" style="5" hidden="1" customWidth="1"/>
    <col min="11779" max="11779" width="11.42578125" style="5" hidden="1" customWidth="1"/>
    <col min="11780" max="11780" width="15.7109375" style="5" hidden="1" customWidth="1"/>
    <col min="11781" max="11781" width="21.85546875" style="5" hidden="1" customWidth="1"/>
    <col min="11782" max="11784" width="11.42578125" style="5" hidden="1" customWidth="1"/>
    <col min="11785" max="11785" width="16" style="5" hidden="1" customWidth="1"/>
    <col min="11786" max="11786" width="20.42578125" style="5" hidden="1" customWidth="1"/>
    <col min="11787" max="12033" width="11.42578125" style="5" hidden="1" customWidth="1"/>
    <col min="12034" max="12034" width="15.42578125" style="5" hidden="1" customWidth="1"/>
    <col min="12035" max="12035" width="11.42578125" style="5" hidden="1" customWidth="1"/>
    <col min="12036" max="12036" width="15.7109375" style="5" hidden="1" customWidth="1"/>
    <col min="12037" max="12037" width="21.85546875" style="5" hidden="1" customWidth="1"/>
    <col min="12038" max="12040" width="11.42578125" style="5" hidden="1" customWidth="1"/>
    <col min="12041" max="12041" width="16" style="5" hidden="1" customWidth="1"/>
    <col min="12042" max="12042" width="20.42578125" style="5" hidden="1" customWidth="1"/>
    <col min="12043" max="12289" width="11.42578125" style="5" hidden="1" customWidth="1"/>
    <col min="12290" max="12290" width="15.42578125" style="5" hidden="1" customWidth="1"/>
    <col min="12291" max="12291" width="11.42578125" style="5" hidden="1" customWidth="1"/>
    <col min="12292" max="12292" width="15.7109375" style="5" hidden="1" customWidth="1"/>
    <col min="12293" max="12293" width="21.85546875" style="5" hidden="1" customWidth="1"/>
    <col min="12294" max="12296" width="11.42578125" style="5" hidden="1" customWidth="1"/>
    <col min="12297" max="12297" width="16" style="5" hidden="1" customWidth="1"/>
    <col min="12298" max="12298" width="20.42578125" style="5" hidden="1" customWidth="1"/>
    <col min="12299" max="12545" width="11.42578125" style="5" hidden="1" customWidth="1"/>
    <col min="12546" max="12546" width="15.42578125" style="5" hidden="1" customWidth="1"/>
    <col min="12547" max="12547" width="11.42578125" style="5" hidden="1" customWidth="1"/>
    <col min="12548" max="12548" width="15.7109375" style="5" hidden="1" customWidth="1"/>
    <col min="12549" max="12549" width="21.85546875" style="5" hidden="1" customWidth="1"/>
    <col min="12550" max="12552" width="11.42578125" style="5" hidden="1" customWidth="1"/>
    <col min="12553" max="12553" width="16" style="5" hidden="1" customWidth="1"/>
    <col min="12554" max="12554" width="20.42578125" style="5" hidden="1" customWidth="1"/>
    <col min="12555" max="12801" width="11.42578125" style="5" hidden="1" customWidth="1"/>
    <col min="12802" max="12802" width="15.42578125" style="5" hidden="1" customWidth="1"/>
    <col min="12803" max="12803" width="11.42578125" style="5" hidden="1" customWidth="1"/>
    <col min="12804" max="12804" width="15.7109375" style="5" hidden="1" customWidth="1"/>
    <col min="12805" max="12805" width="21.85546875" style="5" hidden="1" customWidth="1"/>
    <col min="12806" max="12808" width="11.42578125" style="5" hidden="1" customWidth="1"/>
    <col min="12809" max="12809" width="16" style="5" hidden="1" customWidth="1"/>
    <col min="12810" max="12810" width="20.42578125" style="5" hidden="1" customWidth="1"/>
    <col min="12811" max="13057" width="11.42578125" style="5" hidden="1" customWidth="1"/>
    <col min="13058" max="13058" width="15.42578125" style="5" hidden="1" customWidth="1"/>
    <col min="13059" max="13059" width="11.42578125" style="5" hidden="1" customWidth="1"/>
    <col min="13060" max="13060" width="15.7109375" style="5" hidden="1" customWidth="1"/>
    <col min="13061" max="13061" width="21.85546875" style="5" hidden="1" customWidth="1"/>
    <col min="13062" max="13064" width="11.42578125" style="5" hidden="1" customWidth="1"/>
    <col min="13065" max="13065" width="16" style="5" hidden="1" customWidth="1"/>
    <col min="13066" max="13066" width="20.42578125" style="5" hidden="1" customWidth="1"/>
    <col min="13067" max="13313" width="11.42578125" style="5" hidden="1" customWidth="1"/>
    <col min="13314" max="13314" width="15.42578125" style="5" hidden="1" customWidth="1"/>
    <col min="13315" max="13315" width="11.42578125" style="5" hidden="1" customWidth="1"/>
    <col min="13316" max="13316" width="15.7109375" style="5" hidden="1" customWidth="1"/>
    <col min="13317" max="13317" width="21.85546875" style="5" hidden="1" customWidth="1"/>
    <col min="13318" max="13320" width="11.42578125" style="5" hidden="1" customWidth="1"/>
    <col min="13321" max="13321" width="16" style="5" hidden="1" customWidth="1"/>
    <col min="13322" max="13322" width="20.42578125" style="5" hidden="1" customWidth="1"/>
    <col min="13323" max="13569" width="11.42578125" style="5" hidden="1" customWidth="1"/>
    <col min="13570" max="13570" width="15.42578125" style="5" hidden="1" customWidth="1"/>
    <col min="13571" max="13571" width="11.42578125" style="5" hidden="1" customWidth="1"/>
    <col min="13572" max="13572" width="15.7109375" style="5" hidden="1" customWidth="1"/>
    <col min="13573" max="13573" width="21.85546875" style="5" hidden="1" customWidth="1"/>
    <col min="13574" max="13576" width="11.42578125" style="5" hidden="1" customWidth="1"/>
    <col min="13577" max="13577" width="16" style="5" hidden="1" customWidth="1"/>
    <col min="13578" max="13578" width="20.42578125" style="5" hidden="1" customWidth="1"/>
    <col min="13579" max="13825" width="11.42578125" style="5" hidden="1" customWidth="1"/>
    <col min="13826" max="13826" width="15.42578125" style="5" hidden="1" customWidth="1"/>
    <col min="13827" max="13827" width="11.42578125" style="5" hidden="1" customWidth="1"/>
    <col min="13828" max="13828" width="15.7109375" style="5" hidden="1" customWidth="1"/>
    <col min="13829" max="13829" width="21.85546875" style="5" hidden="1" customWidth="1"/>
    <col min="13830" max="13832" width="11.42578125" style="5" hidden="1" customWidth="1"/>
    <col min="13833" max="13833" width="16" style="5" hidden="1" customWidth="1"/>
    <col min="13834" max="13834" width="20.42578125" style="5" hidden="1" customWidth="1"/>
    <col min="13835" max="14081" width="11.42578125" style="5" hidden="1" customWidth="1"/>
    <col min="14082" max="14082" width="15.42578125" style="5" hidden="1" customWidth="1"/>
    <col min="14083" max="14083" width="11.42578125" style="5" hidden="1" customWidth="1"/>
    <col min="14084" max="14084" width="15.7109375" style="5" hidden="1" customWidth="1"/>
    <col min="14085" max="14085" width="21.85546875" style="5" hidden="1" customWidth="1"/>
    <col min="14086" max="14088" width="11.42578125" style="5" hidden="1" customWidth="1"/>
    <col min="14089" max="14089" width="16" style="5" hidden="1" customWidth="1"/>
    <col min="14090" max="14090" width="20.42578125" style="5" hidden="1" customWidth="1"/>
    <col min="14091" max="14337" width="11.42578125" style="5" hidden="1" customWidth="1"/>
    <col min="14338" max="14338" width="15.42578125" style="5" hidden="1" customWidth="1"/>
    <col min="14339" max="14339" width="11.42578125" style="5" hidden="1" customWidth="1"/>
    <col min="14340" max="14340" width="15.7109375" style="5" hidden="1" customWidth="1"/>
    <col min="14341" max="14341" width="21.85546875" style="5" hidden="1" customWidth="1"/>
    <col min="14342" max="14344" width="11.42578125" style="5" hidden="1" customWidth="1"/>
    <col min="14345" max="14345" width="16" style="5" hidden="1" customWidth="1"/>
    <col min="14346" max="14346" width="20.42578125" style="5" hidden="1" customWidth="1"/>
    <col min="14347" max="14593" width="11.42578125" style="5" hidden="1" customWidth="1"/>
    <col min="14594" max="14594" width="15.42578125" style="5" hidden="1" customWidth="1"/>
    <col min="14595" max="14595" width="11.42578125" style="5" hidden="1" customWidth="1"/>
    <col min="14596" max="14596" width="15.7109375" style="5" hidden="1" customWidth="1"/>
    <col min="14597" max="14597" width="21.85546875" style="5" hidden="1" customWidth="1"/>
    <col min="14598" max="14600" width="11.42578125" style="5" hidden="1" customWidth="1"/>
    <col min="14601" max="14601" width="16" style="5" hidden="1" customWidth="1"/>
    <col min="14602" max="14602" width="20.42578125" style="5" hidden="1" customWidth="1"/>
    <col min="14603" max="14849" width="11.42578125" style="5" hidden="1" customWidth="1"/>
    <col min="14850" max="14850" width="15.42578125" style="5" hidden="1" customWidth="1"/>
    <col min="14851" max="14851" width="11.42578125" style="5" hidden="1" customWidth="1"/>
    <col min="14852" max="14852" width="15.7109375" style="5" hidden="1" customWidth="1"/>
    <col min="14853" max="14853" width="21.85546875" style="5" hidden="1" customWidth="1"/>
    <col min="14854" max="14856" width="11.42578125" style="5" hidden="1" customWidth="1"/>
    <col min="14857" max="14857" width="16" style="5" hidden="1" customWidth="1"/>
    <col min="14858" max="14858" width="20.42578125" style="5" hidden="1" customWidth="1"/>
    <col min="14859" max="15105" width="11.42578125" style="5" hidden="1" customWidth="1"/>
    <col min="15106" max="15106" width="15.42578125" style="5" hidden="1" customWidth="1"/>
    <col min="15107" max="15107" width="11.42578125" style="5" hidden="1" customWidth="1"/>
    <col min="15108" max="15108" width="15.7109375" style="5" hidden="1" customWidth="1"/>
    <col min="15109" max="15109" width="21.85546875" style="5" hidden="1" customWidth="1"/>
    <col min="15110" max="15112" width="11.42578125" style="5" hidden="1" customWidth="1"/>
    <col min="15113" max="15113" width="16" style="5" hidden="1" customWidth="1"/>
    <col min="15114" max="15114" width="20.42578125" style="5" hidden="1" customWidth="1"/>
    <col min="15115" max="15361" width="11.42578125" style="5" hidden="1" customWidth="1"/>
    <col min="15362" max="15362" width="15.42578125" style="5" hidden="1" customWidth="1"/>
    <col min="15363" max="15363" width="11.42578125" style="5" hidden="1" customWidth="1"/>
    <col min="15364" max="15364" width="15.7109375" style="5" hidden="1" customWidth="1"/>
    <col min="15365" max="15365" width="21.85546875" style="5" hidden="1" customWidth="1"/>
    <col min="15366" max="15368" width="11.42578125" style="5" hidden="1" customWidth="1"/>
    <col min="15369" max="15369" width="16" style="5" hidden="1" customWidth="1"/>
    <col min="15370" max="15370" width="20.42578125" style="5" hidden="1" customWidth="1"/>
    <col min="15371" max="15617" width="11.42578125" style="5" hidden="1" customWidth="1"/>
    <col min="15618" max="15618" width="15.42578125" style="5" hidden="1" customWidth="1"/>
    <col min="15619" max="15619" width="11.42578125" style="5" hidden="1" customWidth="1"/>
    <col min="15620" max="15620" width="15.7109375" style="5" hidden="1" customWidth="1"/>
    <col min="15621" max="15621" width="21.85546875" style="5" hidden="1" customWidth="1"/>
    <col min="15622" max="15624" width="11.42578125" style="5" hidden="1" customWidth="1"/>
    <col min="15625" max="15625" width="16" style="5" hidden="1" customWidth="1"/>
    <col min="15626" max="15626" width="20.42578125" style="5" hidden="1" customWidth="1"/>
    <col min="15627" max="15873" width="11.42578125" style="5" hidden="1" customWidth="1"/>
    <col min="15874" max="15874" width="15.42578125" style="5" hidden="1" customWidth="1"/>
    <col min="15875" max="15875" width="11.42578125" style="5" hidden="1" customWidth="1"/>
    <col min="15876" max="15876" width="15.7109375" style="5" hidden="1" customWidth="1"/>
    <col min="15877" max="15877" width="21.85546875" style="5" hidden="1" customWidth="1"/>
    <col min="15878" max="15880" width="11.42578125" style="5" hidden="1" customWidth="1"/>
    <col min="15881" max="15881" width="16" style="5" hidden="1" customWidth="1"/>
    <col min="15882" max="15882" width="20.42578125" style="5" hidden="1" customWidth="1"/>
    <col min="15883" max="16129" width="11.42578125" style="5" hidden="1" customWidth="1"/>
    <col min="16130" max="16130" width="15.42578125" style="5" hidden="1" customWidth="1"/>
    <col min="16131" max="16131" width="11.42578125" style="5" hidden="1" customWidth="1"/>
    <col min="16132" max="16132" width="15.7109375" style="5" hidden="1" customWidth="1"/>
    <col min="16133" max="16133" width="21.85546875" style="5" hidden="1" customWidth="1"/>
    <col min="16134" max="16136" width="11.42578125" style="5" hidden="1" customWidth="1"/>
    <col min="16137" max="16137" width="16" style="5" hidden="1" customWidth="1"/>
    <col min="16138" max="16138" width="20.42578125" style="5" hidden="1" customWidth="1"/>
    <col min="16139" max="16141" width="11.42578125" style="5" hidden="1" customWidth="1"/>
    <col min="16142" max="16142" width="15.42578125" style="5" hidden="1" customWidth="1"/>
    <col min="16143" max="16143" width="11.42578125" style="5" hidden="1" customWidth="1"/>
    <col min="16144" max="16144" width="15.7109375" style="5" hidden="1" customWidth="1"/>
    <col min="16145" max="16145" width="21.85546875" style="5" hidden="1" customWidth="1"/>
    <col min="16146" max="16148" width="11.42578125" style="5" hidden="1" customWidth="1"/>
    <col min="16149" max="16149" width="16" style="5" hidden="1" customWidth="1"/>
    <col min="16150" max="16151" width="20.42578125" style="5" hidden="1" customWidth="1"/>
    <col min="16152" max="16153" width="11.42578125" style="5" hidden="1" customWidth="1"/>
    <col min="16154" max="16154" width="16" style="5" hidden="1" customWidth="1"/>
    <col min="16155" max="16159" width="20.42578125" style="5" hidden="1" customWidth="1"/>
    <col min="16160" max="16382" width="11.42578125" style="5" hidden="1" customWidth="1"/>
    <col min="16383" max="16384" width="11.42578125" style="5" hidden="1"/>
  </cols>
  <sheetData>
    <row r="1" spans="1:31" ht="54" customHeight="1" x14ac:dyDescent="0.2">
      <c r="A1" s="9" t="s">
        <v>10</v>
      </c>
      <c r="B1" s="9" t="s">
        <v>11</v>
      </c>
      <c r="C1" s="10" t="s">
        <v>12</v>
      </c>
      <c r="D1" s="10" t="s">
        <v>4</v>
      </c>
      <c r="E1" s="66" t="s">
        <v>17</v>
      </c>
      <c r="F1" s="72" t="s">
        <v>63</v>
      </c>
      <c r="G1" s="73" t="s">
        <v>64</v>
      </c>
      <c r="H1" s="73" t="s">
        <v>65</v>
      </c>
      <c r="I1" s="74" t="s">
        <v>66</v>
      </c>
      <c r="J1" s="75" t="s">
        <v>67</v>
      </c>
      <c r="K1" s="76" t="s">
        <v>68</v>
      </c>
      <c r="L1" s="77" t="s">
        <v>69</v>
      </c>
      <c r="M1" s="78" t="s">
        <v>70</v>
      </c>
      <c r="N1" s="79" t="s">
        <v>71</v>
      </c>
      <c r="O1" s="80" t="s">
        <v>72</v>
      </c>
      <c r="P1" s="81" t="s">
        <v>73</v>
      </c>
      <c r="Q1" s="82" t="s">
        <v>74</v>
      </c>
      <c r="R1" s="83" t="s">
        <v>75</v>
      </c>
      <c r="S1" s="10" t="s">
        <v>13</v>
      </c>
      <c r="T1" s="11" t="s">
        <v>14</v>
      </c>
      <c r="U1" s="12"/>
      <c r="V1" s="87" t="s">
        <v>44</v>
      </c>
      <c r="W1" s="89" t="s">
        <v>85</v>
      </c>
      <c r="X1" s="13" t="s">
        <v>16</v>
      </c>
      <c r="Y1" s="12"/>
      <c r="Z1" s="14"/>
      <c r="AA1" s="15" t="s">
        <v>15</v>
      </c>
      <c r="AB1" s="15" t="s">
        <v>17</v>
      </c>
      <c r="AC1" s="15" t="s">
        <v>18</v>
      </c>
      <c r="AD1" s="15" t="s">
        <v>19</v>
      </c>
      <c r="AE1" s="12" t="s">
        <v>20</v>
      </c>
    </row>
    <row r="2" spans="1:31" ht="13.9" customHeight="1" x14ac:dyDescent="0.2">
      <c r="A2" s="16" t="str">
        <f>RAWDATA!B2</f>
        <v>applicant.last_name</v>
      </c>
      <c r="B2" s="16" t="str">
        <f>RAWDATA!C2</f>
        <v>applicant.first_name</v>
      </c>
      <c r="C2" s="17" t="str">
        <f>RAWDATA!D2</f>
        <v>applicant.origin.short_name</v>
      </c>
      <c r="D2" s="17" t="str">
        <f>RAWDATA!E2</f>
        <v>applicant.tag</v>
      </c>
      <c r="E2" s="17" t="str">
        <f>RAWDATA!H2</f>
        <v>applicant.get_test_ger</v>
      </c>
      <c r="F2" s="67"/>
      <c r="G2" s="67"/>
      <c r="H2" s="67"/>
      <c r="I2" s="68"/>
      <c r="J2" s="68"/>
      <c r="K2" s="68"/>
      <c r="L2" s="68"/>
      <c r="M2" s="69"/>
      <c r="N2" s="68"/>
      <c r="O2" s="67"/>
      <c r="P2" s="70"/>
      <c r="Q2" s="67"/>
      <c r="R2" s="67"/>
      <c r="S2" s="18" t="str">
        <f>IF(ISBLANK(RAWDATA!F2),SUM(F2:R2),RAWDATA!F2)</f>
        <v>attendance.sanitized_grade</v>
      </c>
      <c r="T2" s="17" t="e">
        <f>LOOKUP(S2,{0;1;49.1;55.1;61.1;67.1;72.1;78.1;84.1;89.1;94.1;97.1},{"KP";"NB";4;3.7;3.3;3;2.7;2.3;2;1.7;1.3;1})</f>
        <v>#N/A</v>
      </c>
      <c r="U2" s="12"/>
      <c r="V2" s="88" t="str">
        <f>RAWDATA!G2</f>
        <v>attendance.ects_points</v>
      </c>
      <c r="W2" s="90" t="str">
        <f>RAWDATA!K2</f>
        <v>attendance.hide_grade_str</v>
      </c>
      <c r="X2" s="19" t="str">
        <f t="shared" ref="X2:X9" si="0">IF(S2&gt;0,"X","")</f>
        <v>X</v>
      </c>
      <c r="Y2" s="12"/>
      <c r="Z2" s="14"/>
      <c r="AA2" s="8" t="str">
        <f t="shared" ref="AA2:AA9" si="1">IF(S2&gt;0,$B$43,0)</f>
        <v>course.ects_points</v>
      </c>
      <c r="AB2" s="8" t="str">
        <f t="shared" ref="AB2:AB9" si="2">IF(S2&gt;0,$B$42,0)</f>
        <v>course.ger</v>
      </c>
      <c r="AC2" s="20" t="e">
        <f t="shared" ref="AC2:AC9" si="3">IF(S2&gt;0,$T$38,0)</f>
        <v>#DIV/0!</v>
      </c>
      <c r="AD2" s="5" t="str">
        <f t="shared" ref="AD2:AD9" si="4">IF(S2&gt;0,$B$44,0)</f>
        <v>course.name</v>
      </c>
      <c r="AE2" s="5" t="str">
        <f t="shared" ref="AE2:AE9" si="5">IF(S2&gt;0,$B$41,0)</f>
        <v>course.teacher_name</v>
      </c>
    </row>
    <row r="3" spans="1:31" x14ac:dyDescent="0.2">
      <c r="A3" s="16">
        <f>RAWDATA!B3</f>
        <v>0</v>
      </c>
      <c r="B3" s="16">
        <f>RAWDATA!C3</f>
        <v>0</v>
      </c>
      <c r="C3" s="17">
        <f>RAWDATA!D3</f>
        <v>0</v>
      </c>
      <c r="D3" s="17">
        <f>RAWDATA!E3</f>
        <v>0</v>
      </c>
      <c r="E3" s="17">
        <f>RAWDATA!H3</f>
        <v>0</v>
      </c>
      <c r="F3" s="67"/>
      <c r="G3" s="67"/>
      <c r="H3" s="67"/>
      <c r="I3" s="68"/>
      <c r="J3" s="68"/>
      <c r="K3" s="68"/>
      <c r="L3" s="68"/>
      <c r="M3" s="68"/>
      <c r="N3" s="68"/>
      <c r="O3" s="67"/>
      <c r="P3" s="67"/>
      <c r="Q3" s="67"/>
      <c r="R3" s="67"/>
      <c r="S3" s="18">
        <f>IF(ISBLANK(RAWDATA!F3),SUM(F3:R3),RAWDATA!F3)</f>
        <v>0</v>
      </c>
      <c r="T3" s="17" t="str">
        <f>LOOKUP(S3,{0;1;49.1;55.1;61.1;67.1;72.1;78.1;84.1;89.1;94.1;97.1},{"KP";"NB";4;3.7;3.3;3;2.7;2.3;2;1.7;1.3;1})</f>
        <v>KP</v>
      </c>
      <c r="U3" s="12"/>
      <c r="V3" s="88">
        <f>RAWDATA!G3</f>
        <v>0</v>
      </c>
      <c r="W3" s="90">
        <f>RAWDATA!K3</f>
        <v>0</v>
      </c>
      <c r="X3" s="19" t="str">
        <f t="shared" si="0"/>
        <v/>
      </c>
      <c r="Y3" s="12"/>
      <c r="Z3" s="14"/>
      <c r="AA3" s="8">
        <f t="shared" si="1"/>
        <v>0</v>
      </c>
      <c r="AB3" s="8">
        <f t="shared" si="2"/>
        <v>0</v>
      </c>
      <c r="AC3" s="20">
        <f t="shared" si="3"/>
        <v>0</v>
      </c>
      <c r="AD3" s="5">
        <f t="shared" si="4"/>
        <v>0</v>
      </c>
      <c r="AE3" s="5">
        <f t="shared" si="5"/>
        <v>0</v>
      </c>
    </row>
    <row r="4" spans="1:31" x14ac:dyDescent="0.2">
      <c r="A4" s="16">
        <f>RAWDATA!B4</f>
        <v>0</v>
      </c>
      <c r="B4" s="16">
        <f>RAWDATA!C4</f>
        <v>0</v>
      </c>
      <c r="C4" s="17">
        <f>RAWDATA!D4</f>
        <v>0</v>
      </c>
      <c r="D4" s="17">
        <f>RAWDATA!E4</f>
        <v>0</v>
      </c>
      <c r="E4" s="17">
        <f>RAWDATA!H4</f>
        <v>0</v>
      </c>
      <c r="F4" s="67"/>
      <c r="G4" s="67"/>
      <c r="H4" s="67"/>
      <c r="I4" s="68"/>
      <c r="J4" s="68"/>
      <c r="K4" s="68"/>
      <c r="L4" s="68"/>
      <c r="M4" s="68"/>
      <c r="N4" s="68"/>
      <c r="O4" s="67"/>
      <c r="P4" s="67"/>
      <c r="Q4" s="67"/>
      <c r="R4" s="67"/>
      <c r="S4" s="18">
        <f>IF(ISBLANK(RAWDATA!F4),SUM(F4:R4),RAWDATA!F4)</f>
        <v>0</v>
      </c>
      <c r="T4" s="17" t="str">
        <f>LOOKUP(S4,{0;1;49.1;55.1;61.1;67.1;72.1;78.1;84.1;89.1;94.1;97.1},{"KP";"NB";4;3.7;3.3;3;2.7;2.3;2;1.7;1.3;1})</f>
        <v>KP</v>
      </c>
      <c r="U4" s="12"/>
      <c r="V4" s="88">
        <f>RAWDATA!G4</f>
        <v>0</v>
      </c>
      <c r="W4" s="90">
        <f>RAWDATA!K4</f>
        <v>0</v>
      </c>
      <c r="X4" s="19" t="str">
        <f t="shared" si="0"/>
        <v/>
      </c>
      <c r="Y4" s="12"/>
      <c r="Z4" s="14"/>
      <c r="AA4" s="8">
        <f t="shared" si="1"/>
        <v>0</v>
      </c>
      <c r="AB4" s="8">
        <f t="shared" si="2"/>
        <v>0</v>
      </c>
      <c r="AC4" s="20">
        <f t="shared" si="3"/>
        <v>0</v>
      </c>
      <c r="AD4" s="5">
        <f t="shared" si="4"/>
        <v>0</v>
      </c>
      <c r="AE4" s="5">
        <f t="shared" si="5"/>
        <v>0</v>
      </c>
    </row>
    <row r="5" spans="1:31" x14ac:dyDescent="0.2">
      <c r="A5" s="16">
        <f>RAWDATA!B5</f>
        <v>0</v>
      </c>
      <c r="B5" s="16">
        <f>RAWDATA!C5</f>
        <v>0</v>
      </c>
      <c r="C5" s="17">
        <f>RAWDATA!D5</f>
        <v>0</v>
      </c>
      <c r="D5" s="17">
        <f>RAWDATA!E5</f>
        <v>0</v>
      </c>
      <c r="E5" s="17">
        <f>RAWDATA!H5</f>
        <v>0</v>
      </c>
      <c r="F5" s="67"/>
      <c r="G5" s="67"/>
      <c r="H5" s="67"/>
      <c r="I5" s="68"/>
      <c r="J5" s="68"/>
      <c r="K5" s="68"/>
      <c r="L5" s="68"/>
      <c r="M5" s="68"/>
      <c r="N5" s="68"/>
      <c r="O5" s="67"/>
      <c r="P5" s="67"/>
      <c r="Q5" s="67"/>
      <c r="R5" s="67"/>
      <c r="S5" s="18">
        <f>IF(ISBLANK(RAWDATA!F5),SUM(F5:R5),RAWDATA!F5)</f>
        <v>0</v>
      </c>
      <c r="T5" s="17" t="str">
        <f>LOOKUP(S5,{0;1;49.1;55.1;61.1;67.1;72.1;78.1;84.1;89.1;94.1;97.1},{"KP";"NB";4;3.7;3.3;3;2.7;2.3;2;1.7;1.3;1})</f>
        <v>KP</v>
      </c>
      <c r="U5" s="12"/>
      <c r="V5" s="88">
        <f>RAWDATA!G5</f>
        <v>0</v>
      </c>
      <c r="W5" s="90">
        <f>RAWDATA!K5</f>
        <v>0</v>
      </c>
      <c r="X5" s="19" t="str">
        <f t="shared" si="0"/>
        <v/>
      </c>
      <c r="Y5" s="12"/>
      <c r="Z5" s="14"/>
      <c r="AA5" s="8">
        <f t="shared" si="1"/>
        <v>0</v>
      </c>
      <c r="AB5" s="8">
        <f t="shared" si="2"/>
        <v>0</v>
      </c>
      <c r="AC5" s="20">
        <f t="shared" si="3"/>
        <v>0</v>
      </c>
      <c r="AD5" s="5">
        <f t="shared" si="4"/>
        <v>0</v>
      </c>
      <c r="AE5" s="5">
        <f t="shared" si="5"/>
        <v>0</v>
      </c>
    </row>
    <row r="6" spans="1:31" x14ac:dyDescent="0.2">
      <c r="A6" s="16">
        <f>RAWDATA!B6</f>
        <v>0</v>
      </c>
      <c r="B6" s="16">
        <f>RAWDATA!C6</f>
        <v>0</v>
      </c>
      <c r="C6" s="17">
        <f>RAWDATA!D6</f>
        <v>0</v>
      </c>
      <c r="D6" s="17">
        <f>RAWDATA!E6</f>
        <v>0</v>
      </c>
      <c r="E6" s="17">
        <f>RAWDATA!H6</f>
        <v>0</v>
      </c>
      <c r="F6" s="67"/>
      <c r="G6" s="67"/>
      <c r="H6" s="67"/>
      <c r="I6" s="68"/>
      <c r="J6" s="68"/>
      <c r="K6" s="68"/>
      <c r="L6" s="68"/>
      <c r="M6" s="68"/>
      <c r="N6" s="68"/>
      <c r="O6" s="67"/>
      <c r="P6" s="67"/>
      <c r="Q6" s="67"/>
      <c r="R6" s="67"/>
      <c r="S6" s="18">
        <f>IF(ISBLANK(RAWDATA!F6),SUM(F6:R6),RAWDATA!F6)</f>
        <v>0</v>
      </c>
      <c r="T6" s="17" t="str">
        <f>LOOKUP(S6,{0;1;49.1;55.1;61.1;67.1;72.1;78.1;84.1;89.1;94.1;97.1},{"KP";"NB";4;3.7;3.3;3;2.7;2.3;2;1.7;1.3;1})</f>
        <v>KP</v>
      </c>
      <c r="U6" s="12"/>
      <c r="V6" s="88">
        <f>RAWDATA!G6</f>
        <v>0</v>
      </c>
      <c r="W6" s="90">
        <f>RAWDATA!K6</f>
        <v>0</v>
      </c>
      <c r="X6" s="19" t="str">
        <f t="shared" si="0"/>
        <v/>
      </c>
      <c r="Y6" s="12"/>
      <c r="Z6" s="14"/>
      <c r="AA6" s="8">
        <f t="shared" si="1"/>
        <v>0</v>
      </c>
      <c r="AB6" s="8">
        <f t="shared" si="2"/>
        <v>0</v>
      </c>
      <c r="AC6" s="20">
        <f t="shared" si="3"/>
        <v>0</v>
      </c>
      <c r="AD6" s="5">
        <f t="shared" si="4"/>
        <v>0</v>
      </c>
      <c r="AE6" s="5">
        <f t="shared" si="5"/>
        <v>0</v>
      </c>
    </row>
    <row r="7" spans="1:31" x14ac:dyDescent="0.2">
      <c r="A7" s="16">
        <f>RAWDATA!B7</f>
        <v>0</v>
      </c>
      <c r="B7" s="16">
        <f>RAWDATA!C7</f>
        <v>0</v>
      </c>
      <c r="C7" s="17">
        <f>RAWDATA!D7</f>
        <v>0</v>
      </c>
      <c r="D7" s="17">
        <f>RAWDATA!E7</f>
        <v>0</v>
      </c>
      <c r="E7" s="17">
        <f>RAWDATA!H7</f>
        <v>0</v>
      </c>
      <c r="F7" s="67"/>
      <c r="G7" s="67"/>
      <c r="H7" s="67"/>
      <c r="I7" s="68"/>
      <c r="J7" s="68"/>
      <c r="K7" s="68"/>
      <c r="L7" s="68"/>
      <c r="M7" s="68"/>
      <c r="N7" s="68"/>
      <c r="O7" s="67"/>
      <c r="P7" s="67"/>
      <c r="Q7" s="67"/>
      <c r="R7" s="67"/>
      <c r="S7" s="18">
        <f>IF(ISBLANK(RAWDATA!F7),SUM(F7:R7),RAWDATA!F7)</f>
        <v>0</v>
      </c>
      <c r="T7" s="17" t="str">
        <f>LOOKUP(S7,{0;1;49.1;55.1;61.1;67.1;72.1;78.1;84.1;89.1;94.1;97.1},{"KP";"NB";4;3.7;3.3;3;2.7;2.3;2;1.7;1.3;1})</f>
        <v>KP</v>
      </c>
      <c r="U7" s="12"/>
      <c r="V7" s="88">
        <f>RAWDATA!G7</f>
        <v>0</v>
      </c>
      <c r="W7" s="90">
        <f>RAWDATA!K7</f>
        <v>0</v>
      </c>
      <c r="X7" s="19" t="str">
        <f t="shared" si="0"/>
        <v/>
      </c>
      <c r="Y7" s="12"/>
      <c r="Z7" s="14"/>
      <c r="AA7" s="8">
        <f t="shared" si="1"/>
        <v>0</v>
      </c>
      <c r="AB7" s="8">
        <f t="shared" si="2"/>
        <v>0</v>
      </c>
      <c r="AC7" s="20">
        <f t="shared" si="3"/>
        <v>0</v>
      </c>
      <c r="AD7" s="5">
        <f t="shared" si="4"/>
        <v>0</v>
      </c>
      <c r="AE7" s="5">
        <f t="shared" si="5"/>
        <v>0</v>
      </c>
    </row>
    <row r="8" spans="1:31" x14ac:dyDescent="0.2">
      <c r="A8" s="16">
        <f>RAWDATA!B8</f>
        <v>0</v>
      </c>
      <c r="B8" s="16">
        <f>RAWDATA!C8</f>
        <v>0</v>
      </c>
      <c r="C8" s="17">
        <f>RAWDATA!D8</f>
        <v>0</v>
      </c>
      <c r="D8" s="17">
        <f>RAWDATA!E8</f>
        <v>0</v>
      </c>
      <c r="E8" s="17">
        <f>RAWDATA!H8</f>
        <v>0</v>
      </c>
      <c r="F8" s="67"/>
      <c r="G8" s="67"/>
      <c r="H8" s="67"/>
      <c r="I8" s="68"/>
      <c r="J8" s="68"/>
      <c r="K8" s="68"/>
      <c r="L8" s="68"/>
      <c r="M8" s="68"/>
      <c r="N8" s="68"/>
      <c r="O8" s="67"/>
      <c r="P8" s="67"/>
      <c r="Q8" s="67"/>
      <c r="R8" s="67"/>
      <c r="S8" s="18">
        <f>IF(ISBLANK(RAWDATA!F8),SUM(F8:R8),RAWDATA!F8)</f>
        <v>0</v>
      </c>
      <c r="T8" s="17" t="str">
        <f>LOOKUP(S8,{0;1;49.1;55.1;61.1;67.1;72.1;78.1;84.1;89.1;94.1;97.1},{"KP";"NB";4;3.7;3.3;3;2.7;2.3;2;1.7;1.3;1})</f>
        <v>KP</v>
      </c>
      <c r="U8" s="12"/>
      <c r="V8" s="88">
        <f>RAWDATA!G8</f>
        <v>0</v>
      </c>
      <c r="W8" s="90">
        <f>RAWDATA!K8</f>
        <v>0</v>
      </c>
      <c r="X8" s="19" t="str">
        <f t="shared" si="0"/>
        <v/>
      </c>
      <c r="Y8" s="12"/>
      <c r="Z8" s="14"/>
      <c r="AA8" s="8">
        <f t="shared" si="1"/>
        <v>0</v>
      </c>
      <c r="AB8" s="8">
        <f t="shared" si="2"/>
        <v>0</v>
      </c>
      <c r="AC8" s="20">
        <f t="shared" si="3"/>
        <v>0</v>
      </c>
      <c r="AD8" s="5">
        <f t="shared" si="4"/>
        <v>0</v>
      </c>
      <c r="AE8" s="5">
        <f t="shared" si="5"/>
        <v>0</v>
      </c>
    </row>
    <row r="9" spans="1:31" x14ac:dyDescent="0.2">
      <c r="A9" s="16">
        <f>RAWDATA!B9</f>
        <v>0</v>
      </c>
      <c r="B9" s="16">
        <f>RAWDATA!C9</f>
        <v>0</v>
      </c>
      <c r="C9" s="17">
        <f>RAWDATA!D9</f>
        <v>0</v>
      </c>
      <c r="D9" s="17">
        <f>RAWDATA!E9</f>
        <v>0</v>
      </c>
      <c r="E9" s="17">
        <f>RAWDATA!H9</f>
        <v>0</v>
      </c>
      <c r="F9" s="67"/>
      <c r="G9" s="67"/>
      <c r="H9" s="67"/>
      <c r="I9" s="68"/>
      <c r="J9" s="68"/>
      <c r="K9" s="68"/>
      <c r="L9" s="68"/>
      <c r="M9" s="68"/>
      <c r="N9" s="68"/>
      <c r="O9" s="67"/>
      <c r="P9" s="67"/>
      <c r="Q9" s="67"/>
      <c r="R9" s="67"/>
      <c r="S9" s="18">
        <f>IF(ISBLANK(RAWDATA!F9),SUM(F9:R9),RAWDATA!F9)</f>
        <v>0</v>
      </c>
      <c r="T9" s="17" t="str">
        <f>LOOKUP(S9,{0;1;49.1;55.1;61.1;67.1;72.1;78.1;84.1;89.1;94.1;97.1},{"KP";"NB";4;3.7;3.3;3;2.7;2.3;2;1.7;1.3;1})</f>
        <v>KP</v>
      </c>
      <c r="U9" s="12"/>
      <c r="V9" s="88">
        <f>RAWDATA!G9</f>
        <v>0</v>
      </c>
      <c r="W9" s="90">
        <f>RAWDATA!K9</f>
        <v>0</v>
      </c>
      <c r="X9" s="19" t="str">
        <f t="shared" si="0"/>
        <v/>
      </c>
      <c r="Y9" s="12"/>
      <c r="Z9" s="14"/>
      <c r="AA9" s="8">
        <f t="shared" si="1"/>
        <v>0</v>
      </c>
      <c r="AB9" s="8">
        <f t="shared" si="2"/>
        <v>0</v>
      </c>
      <c r="AC9" s="20">
        <f t="shared" si="3"/>
        <v>0</v>
      </c>
      <c r="AD9" s="5">
        <f t="shared" si="4"/>
        <v>0</v>
      </c>
      <c r="AE9" s="5">
        <f t="shared" si="5"/>
        <v>0</v>
      </c>
    </row>
    <row r="10" spans="1:31" x14ac:dyDescent="0.2">
      <c r="A10" s="16">
        <f>RAWDATA!B10</f>
        <v>0</v>
      </c>
      <c r="B10" s="16">
        <f>RAWDATA!C10</f>
        <v>0</v>
      </c>
      <c r="C10" s="17">
        <f>RAWDATA!D10</f>
        <v>0</v>
      </c>
      <c r="D10" s="17">
        <f>RAWDATA!E10</f>
        <v>0</v>
      </c>
      <c r="E10" s="17">
        <f>RAWDATA!H10</f>
        <v>0</v>
      </c>
      <c r="F10" s="67"/>
      <c r="G10" s="67"/>
      <c r="H10" s="67"/>
      <c r="I10" s="68"/>
      <c r="J10" s="68"/>
      <c r="K10" s="68"/>
      <c r="L10" s="68"/>
      <c r="M10" s="68"/>
      <c r="N10" s="68"/>
      <c r="O10" s="67"/>
      <c r="P10" s="67"/>
      <c r="Q10" s="67"/>
      <c r="R10" s="67"/>
      <c r="S10" s="18">
        <f>IF(ISBLANK(RAWDATA!F10),SUM(F10:R10),RAWDATA!F10)</f>
        <v>0</v>
      </c>
      <c r="T10" s="17" t="str">
        <f>LOOKUP(S10,{0;1;49.1;55.1;61.1;67.1;72.1;78.1;84.1;89.1;94.1;97.1},{"KP";"NB";4;3.7;3.3;3;2.7;2.3;2;1.7;1.3;1})</f>
        <v>KP</v>
      </c>
      <c r="U10" s="12"/>
      <c r="V10" s="88">
        <f>RAWDATA!G10</f>
        <v>0</v>
      </c>
      <c r="W10" s="90">
        <f>RAWDATA!K10</f>
        <v>0</v>
      </c>
      <c r="X10" s="19" t="str">
        <f t="shared" ref="X10:X36" si="6">IF(S10&gt;0,"X","")</f>
        <v/>
      </c>
      <c r="Y10" s="12"/>
      <c r="Z10" s="14"/>
      <c r="AA10" s="8">
        <f t="shared" ref="AA10:AA36" si="7">IF(S10&gt;0,$B$43,0)</f>
        <v>0</v>
      </c>
      <c r="AB10" s="8">
        <f t="shared" ref="AB10:AB36" si="8">IF(S10&gt;0,$B$42,0)</f>
        <v>0</v>
      </c>
      <c r="AC10" s="20">
        <f t="shared" ref="AC10:AC36" si="9">IF(S10&gt;0,$T$38,0)</f>
        <v>0</v>
      </c>
      <c r="AD10" s="5">
        <f t="shared" ref="AD10:AD36" si="10">IF(S10&gt;0,$B$44,0)</f>
        <v>0</v>
      </c>
      <c r="AE10" s="5">
        <f t="shared" ref="AE10:AE36" si="11">IF(S10&gt;0,$B$41,0)</f>
        <v>0</v>
      </c>
    </row>
    <row r="11" spans="1:31" x14ac:dyDescent="0.2">
      <c r="A11" s="16">
        <f>RAWDATA!B11</f>
        <v>0</v>
      </c>
      <c r="B11" s="16">
        <f>RAWDATA!C11</f>
        <v>0</v>
      </c>
      <c r="C11" s="17">
        <f>RAWDATA!D11</f>
        <v>0</v>
      </c>
      <c r="D11" s="17">
        <f>RAWDATA!E11</f>
        <v>0</v>
      </c>
      <c r="E11" s="17">
        <f>RAWDATA!H11</f>
        <v>0</v>
      </c>
      <c r="F11" s="67"/>
      <c r="G11" s="67"/>
      <c r="H11" s="67"/>
      <c r="I11" s="68"/>
      <c r="J11" s="68"/>
      <c r="K11" s="68"/>
      <c r="L11" s="68"/>
      <c r="M11" s="68"/>
      <c r="N11" s="68"/>
      <c r="O11" s="67"/>
      <c r="P11" s="67"/>
      <c r="Q11" s="67"/>
      <c r="R11" s="67"/>
      <c r="S11" s="18">
        <f>IF(ISBLANK(RAWDATA!F11),SUM(F11:R11),RAWDATA!F11)</f>
        <v>0</v>
      </c>
      <c r="T11" s="17" t="str">
        <f>LOOKUP(S11,{0;1;49.1;55.1;61.1;67.1;72.1;78.1;84.1;89.1;94.1;97.1},{"KP";"NB";4;3.7;3.3;3;2.7;2.3;2;1.7;1.3;1})</f>
        <v>KP</v>
      </c>
      <c r="U11" s="12"/>
      <c r="V11" s="88">
        <f>RAWDATA!G11</f>
        <v>0</v>
      </c>
      <c r="W11" s="90">
        <f>RAWDATA!K11</f>
        <v>0</v>
      </c>
      <c r="X11" s="19" t="str">
        <f t="shared" si="6"/>
        <v/>
      </c>
      <c r="Y11" s="12"/>
      <c r="Z11" s="14"/>
      <c r="AA11" s="8">
        <f t="shared" si="7"/>
        <v>0</v>
      </c>
      <c r="AB11" s="8">
        <f t="shared" si="8"/>
        <v>0</v>
      </c>
      <c r="AC11" s="20">
        <f t="shared" si="9"/>
        <v>0</v>
      </c>
      <c r="AD11" s="5">
        <f t="shared" si="10"/>
        <v>0</v>
      </c>
      <c r="AE11" s="5">
        <f t="shared" si="11"/>
        <v>0</v>
      </c>
    </row>
    <row r="12" spans="1:31" x14ac:dyDescent="0.2">
      <c r="A12" s="16">
        <f>RAWDATA!B12</f>
        <v>0</v>
      </c>
      <c r="B12" s="16">
        <f>RAWDATA!C12</f>
        <v>0</v>
      </c>
      <c r="C12" s="17">
        <f>RAWDATA!D12</f>
        <v>0</v>
      </c>
      <c r="D12" s="17">
        <f>RAWDATA!E12</f>
        <v>0</v>
      </c>
      <c r="E12" s="17">
        <f>RAWDATA!H12</f>
        <v>0</v>
      </c>
      <c r="F12" s="67"/>
      <c r="G12" s="67"/>
      <c r="H12" s="67"/>
      <c r="I12" s="68"/>
      <c r="J12" s="68"/>
      <c r="K12" s="68"/>
      <c r="L12" s="68"/>
      <c r="M12" s="68"/>
      <c r="N12" s="68"/>
      <c r="O12" s="67"/>
      <c r="P12" s="67"/>
      <c r="Q12" s="67"/>
      <c r="R12" s="67"/>
      <c r="S12" s="18">
        <f>IF(ISBLANK(RAWDATA!F12),SUM(F12:R12),RAWDATA!F12)</f>
        <v>0</v>
      </c>
      <c r="T12" s="17" t="str">
        <f>LOOKUP(S12,{0;1;49.1;55.1;61.1;67.1;72.1;78.1;84.1;89.1;94.1;97.1},{"KP";"NB";4;3.7;3.3;3;2.7;2.3;2;1.7;1.3;1})</f>
        <v>KP</v>
      </c>
      <c r="U12" s="12"/>
      <c r="V12" s="88">
        <f>RAWDATA!G12</f>
        <v>0</v>
      </c>
      <c r="W12" s="90">
        <f>RAWDATA!K12</f>
        <v>0</v>
      </c>
      <c r="X12" s="19" t="str">
        <f t="shared" si="6"/>
        <v/>
      </c>
      <c r="Y12" s="12"/>
      <c r="Z12" s="14"/>
      <c r="AA12" s="8">
        <f t="shared" si="7"/>
        <v>0</v>
      </c>
      <c r="AB12" s="8">
        <f t="shared" si="8"/>
        <v>0</v>
      </c>
      <c r="AC12" s="20">
        <f t="shared" si="9"/>
        <v>0</v>
      </c>
      <c r="AD12" s="5">
        <f t="shared" si="10"/>
        <v>0</v>
      </c>
      <c r="AE12" s="5">
        <f t="shared" si="11"/>
        <v>0</v>
      </c>
    </row>
    <row r="13" spans="1:31" x14ac:dyDescent="0.2">
      <c r="A13" s="16">
        <f>RAWDATA!B13</f>
        <v>0</v>
      </c>
      <c r="B13" s="16">
        <f>RAWDATA!C13</f>
        <v>0</v>
      </c>
      <c r="C13" s="17">
        <f>RAWDATA!D13</f>
        <v>0</v>
      </c>
      <c r="D13" s="17">
        <f>RAWDATA!E13</f>
        <v>0</v>
      </c>
      <c r="E13" s="17">
        <f>RAWDATA!H13</f>
        <v>0</v>
      </c>
      <c r="F13" s="67"/>
      <c r="G13" s="67"/>
      <c r="H13" s="67"/>
      <c r="I13" s="68"/>
      <c r="J13" s="68"/>
      <c r="K13" s="68"/>
      <c r="L13" s="68"/>
      <c r="M13" s="68"/>
      <c r="N13" s="68"/>
      <c r="O13" s="67"/>
      <c r="P13" s="67"/>
      <c r="Q13" s="67"/>
      <c r="R13" s="67"/>
      <c r="S13" s="18">
        <f>IF(ISBLANK(RAWDATA!F13),SUM(F13:R13),RAWDATA!F13)</f>
        <v>0</v>
      </c>
      <c r="T13" s="17" t="str">
        <f>LOOKUP(S13,{0;1;49.1;55.1;61.1;67.1;72.1;78.1;84.1;89.1;94.1;97.1},{"KP";"NB";4;3.7;3.3;3;2.7;2.3;2;1.7;1.3;1})</f>
        <v>KP</v>
      </c>
      <c r="U13" s="12"/>
      <c r="V13" s="88">
        <f>RAWDATA!G13</f>
        <v>0</v>
      </c>
      <c r="W13" s="90">
        <f>RAWDATA!K13</f>
        <v>0</v>
      </c>
      <c r="X13" s="19" t="str">
        <f t="shared" si="6"/>
        <v/>
      </c>
      <c r="Y13" s="12"/>
      <c r="Z13" s="14"/>
      <c r="AA13" s="8">
        <f t="shared" si="7"/>
        <v>0</v>
      </c>
      <c r="AB13" s="8">
        <f t="shared" si="8"/>
        <v>0</v>
      </c>
      <c r="AC13" s="20">
        <f t="shared" si="9"/>
        <v>0</v>
      </c>
      <c r="AD13" s="5">
        <f t="shared" si="10"/>
        <v>0</v>
      </c>
      <c r="AE13" s="5">
        <f t="shared" si="11"/>
        <v>0</v>
      </c>
    </row>
    <row r="14" spans="1:31" x14ac:dyDescent="0.2">
      <c r="A14" s="16">
        <f>RAWDATA!B14</f>
        <v>0</v>
      </c>
      <c r="B14" s="16">
        <f>RAWDATA!C14</f>
        <v>0</v>
      </c>
      <c r="C14" s="17">
        <f>RAWDATA!D14</f>
        <v>0</v>
      </c>
      <c r="D14" s="17">
        <f>RAWDATA!E14</f>
        <v>0</v>
      </c>
      <c r="E14" s="17">
        <f>RAWDATA!H14</f>
        <v>0</v>
      </c>
      <c r="F14" s="67"/>
      <c r="G14" s="67"/>
      <c r="H14" s="67"/>
      <c r="I14" s="68"/>
      <c r="J14" s="68"/>
      <c r="K14" s="68"/>
      <c r="L14" s="68"/>
      <c r="M14" s="68"/>
      <c r="N14" s="68"/>
      <c r="O14" s="67"/>
      <c r="P14" s="67"/>
      <c r="Q14" s="67"/>
      <c r="R14" s="67"/>
      <c r="S14" s="18">
        <f>IF(ISBLANK(RAWDATA!F14),SUM(F14:R14),RAWDATA!F14)</f>
        <v>0</v>
      </c>
      <c r="T14" s="17" t="str">
        <f>LOOKUP(S14,{0;1;49.1;55.1;61.1;67.1;72.1;78.1;84.1;89.1;94.1;97.1},{"KP";"NB";4;3.7;3.3;3;2.7;2.3;2;1.7;1.3;1})</f>
        <v>KP</v>
      </c>
      <c r="U14" s="12"/>
      <c r="V14" s="88">
        <f>RAWDATA!G14</f>
        <v>0</v>
      </c>
      <c r="W14" s="90">
        <f>RAWDATA!K14</f>
        <v>0</v>
      </c>
      <c r="X14" s="19" t="str">
        <f t="shared" si="6"/>
        <v/>
      </c>
      <c r="Y14" s="12"/>
      <c r="Z14" s="14"/>
      <c r="AA14" s="8">
        <f t="shared" si="7"/>
        <v>0</v>
      </c>
      <c r="AB14" s="8">
        <f t="shared" si="8"/>
        <v>0</v>
      </c>
      <c r="AC14" s="20">
        <f t="shared" si="9"/>
        <v>0</v>
      </c>
      <c r="AD14" s="5">
        <f t="shared" si="10"/>
        <v>0</v>
      </c>
      <c r="AE14" s="5">
        <f t="shared" si="11"/>
        <v>0</v>
      </c>
    </row>
    <row r="15" spans="1:31" x14ac:dyDescent="0.2">
      <c r="A15" s="16">
        <f>RAWDATA!B15</f>
        <v>0</v>
      </c>
      <c r="B15" s="16">
        <f>RAWDATA!C15</f>
        <v>0</v>
      </c>
      <c r="C15" s="17">
        <f>RAWDATA!D15</f>
        <v>0</v>
      </c>
      <c r="D15" s="17">
        <f>RAWDATA!E15</f>
        <v>0</v>
      </c>
      <c r="E15" s="17">
        <f>RAWDATA!H15</f>
        <v>0</v>
      </c>
      <c r="F15" s="67"/>
      <c r="G15" s="67"/>
      <c r="H15" s="67"/>
      <c r="I15" s="68"/>
      <c r="J15" s="68"/>
      <c r="K15" s="68"/>
      <c r="L15" s="68"/>
      <c r="M15" s="68"/>
      <c r="N15" s="68"/>
      <c r="O15" s="67"/>
      <c r="P15" s="67"/>
      <c r="Q15" s="67"/>
      <c r="R15" s="67"/>
      <c r="S15" s="18">
        <f>IF(ISBLANK(RAWDATA!F15),SUM(F15:R15),RAWDATA!F15)</f>
        <v>0</v>
      </c>
      <c r="T15" s="17" t="str">
        <f>LOOKUP(S15,{0;1;49.1;55.1;61.1;67.1;72.1;78.1;84.1;89.1;94.1;97.1},{"KP";"NB";4;3.7;3.3;3;2.7;2.3;2;1.7;1.3;1})</f>
        <v>KP</v>
      </c>
      <c r="U15" s="12"/>
      <c r="V15" s="88">
        <f>RAWDATA!G15</f>
        <v>0</v>
      </c>
      <c r="W15" s="90">
        <f>RAWDATA!K15</f>
        <v>0</v>
      </c>
      <c r="X15" s="19" t="str">
        <f t="shared" si="6"/>
        <v/>
      </c>
      <c r="Y15" s="12"/>
      <c r="Z15" s="14"/>
      <c r="AA15" s="8">
        <f t="shared" si="7"/>
        <v>0</v>
      </c>
      <c r="AB15" s="8">
        <f t="shared" si="8"/>
        <v>0</v>
      </c>
      <c r="AC15" s="20">
        <f t="shared" si="9"/>
        <v>0</v>
      </c>
      <c r="AD15" s="5">
        <f t="shared" si="10"/>
        <v>0</v>
      </c>
      <c r="AE15" s="5">
        <f t="shared" si="11"/>
        <v>0</v>
      </c>
    </row>
    <row r="16" spans="1:31" x14ac:dyDescent="0.2">
      <c r="A16" s="16">
        <f>RAWDATA!B16</f>
        <v>0</v>
      </c>
      <c r="B16" s="16">
        <f>RAWDATA!C16</f>
        <v>0</v>
      </c>
      <c r="C16" s="17">
        <f>RAWDATA!D16</f>
        <v>0</v>
      </c>
      <c r="D16" s="17">
        <f>RAWDATA!E16</f>
        <v>0</v>
      </c>
      <c r="E16" s="17">
        <f>RAWDATA!H16</f>
        <v>0</v>
      </c>
      <c r="F16" s="67"/>
      <c r="G16" s="67"/>
      <c r="H16" s="67"/>
      <c r="I16" s="68"/>
      <c r="J16" s="68"/>
      <c r="K16" s="68"/>
      <c r="L16" s="68"/>
      <c r="M16" s="68"/>
      <c r="N16" s="68"/>
      <c r="O16" s="67"/>
      <c r="P16" s="67"/>
      <c r="Q16" s="67"/>
      <c r="R16" s="67"/>
      <c r="S16" s="18">
        <f>IF(ISBLANK(RAWDATA!F16),SUM(F16:R16),RAWDATA!F16)</f>
        <v>0</v>
      </c>
      <c r="T16" s="17" t="str">
        <f>LOOKUP(S16,{0;1;49.1;55.1;61.1;67.1;72.1;78.1;84.1;89.1;94.1;97.1},{"KP";"NB";4;3.7;3.3;3;2.7;2.3;2;1.7;1.3;1})</f>
        <v>KP</v>
      </c>
      <c r="U16" s="12"/>
      <c r="V16" s="88">
        <f>RAWDATA!G16</f>
        <v>0</v>
      </c>
      <c r="W16" s="90">
        <f>RAWDATA!K16</f>
        <v>0</v>
      </c>
      <c r="X16" s="19" t="str">
        <f t="shared" si="6"/>
        <v/>
      </c>
      <c r="Y16" s="12"/>
      <c r="Z16" s="14"/>
      <c r="AA16" s="8">
        <f t="shared" si="7"/>
        <v>0</v>
      </c>
      <c r="AB16" s="8">
        <f t="shared" si="8"/>
        <v>0</v>
      </c>
      <c r="AC16" s="20">
        <f t="shared" si="9"/>
        <v>0</v>
      </c>
      <c r="AD16" s="5">
        <f t="shared" si="10"/>
        <v>0</v>
      </c>
      <c r="AE16" s="5">
        <f t="shared" si="11"/>
        <v>0</v>
      </c>
    </row>
    <row r="17" spans="1:31" x14ac:dyDescent="0.2">
      <c r="A17" s="16">
        <f>RAWDATA!B17</f>
        <v>0</v>
      </c>
      <c r="B17" s="16">
        <f>RAWDATA!C17</f>
        <v>0</v>
      </c>
      <c r="C17" s="17">
        <f>RAWDATA!D17</f>
        <v>0</v>
      </c>
      <c r="D17" s="17">
        <f>RAWDATA!E17</f>
        <v>0</v>
      </c>
      <c r="E17" s="17">
        <f>RAWDATA!H17</f>
        <v>0</v>
      </c>
      <c r="F17" s="67"/>
      <c r="G17" s="67"/>
      <c r="H17" s="67"/>
      <c r="I17" s="68"/>
      <c r="J17" s="68"/>
      <c r="K17" s="68"/>
      <c r="L17" s="68"/>
      <c r="M17" s="68"/>
      <c r="N17" s="68"/>
      <c r="O17" s="67"/>
      <c r="P17" s="67"/>
      <c r="Q17" s="67"/>
      <c r="R17" s="67"/>
      <c r="S17" s="18">
        <f>IF(ISBLANK(RAWDATA!F17),SUM(F17:R17),RAWDATA!F17)</f>
        <v>0</v>
      </c>
      <c r="T17" s="17" t="str">
        <f>LOOKUP(S17,{0;1;49.1;55.1;61.1;67.1;72.1;78.1;84.1;89.1;94.1;97.1},{"KP";"NB";4;3.7;3.3;3;2.7;2.3;2;1.7;1.3;1})</f>
        <v>KP</v>
      </c>
      <c r="U17" s="12"/>
      <c r="V17" s="88">
        <f>RAWDATA!G17</f>
        <v>0</v>
      </c>
      <c r="W17" s="90">
        <f>RAWDATA!K17</f>
        <v>0</v>
      </c>
      <c r="X17" s="19" t="str">
        <f t="shared" si="6"/>
        <v/>
      </c>
      <c r="Y17" s="12"/>
      <c r="Z17" s="14"/>
      <c r="AA17" s="8">
        <f t="shared" si="7"/>
        <v>0</v>
      </c>
      <c r="AB17" s="8">
        <f t="shared" si="8"/>
        <v>0</v>
      </c>
      <c r="AC17" s="20">
        <f t="shared" si="9"/>
        <v>0</v>
      </c>
      <c r="AD17" s="5">
        <f t="shared" si="10"/>
        <v>0</v>
      </c>
      <c r="AE17" s="5">
        <f t="shared" si="11"/>
        <v>0</v>
      </c>
    </row>
    <row r="18" spans="1:31" x14ac:dyDescent="0.2">
      <c r="A18" s="16">
        <f>RAWDATA!B18</f>
        <v>0</v>
      </c>
      <c r="B18" s="16">
        <f>RAWDATA!C18</f>
        <v>0</v>
      </c>
      <c r="C18" s="17">
        <f>RAWDATA!D18</f>
        <v>0</v>
      </c>
      <c r="D18" s="17">
        <f>RAWDATA!E18</f>
        <v>0</v>
      </c>
      <c r="E18" s="17">
        <f>RAWDATA!H18</f>
        <v>0</v>
      </c>
      <c r="F18" s="67"/>
      <c r="G18" s="67"/>
      <c r="H18" s="67"/>
      <c r="I18" s="68"/>
      <c r="J18" s="68"/>
      <c r="K18" s="68"/>
      <c r="L18" s="68"/>
      <c r="M18" s="68"/>
      <c r="N18" s="68"/>
      <c r="O18" s="67"/>
      <c r="P18" s="67"/>
      <c r="Q18" s="67"/>
      <c r="R18" s="67"/>
      <c r="S18" s="18">
        <f>IF(ISBLANK(RAWDATA!F18),SUM(F18:R18),RAWDATA!F18)</f>
        <v>0</v>
      </c>
      <c r="T18" s="17" t="str">
        <f>LOOKUP(S18,{0;1;49.1;55.1;61.1;67.1;72.1;78.1;84.1;89.1;94.1;97.1},{"KP";"NB";4;3.7;3.3;3;2.7;2.3;2;1.7;1.3;1})</f>
        <v>KP</v>
      </c>
      <c r="U18" s="12"/>
      <c r="V18" s="88">
        <f>RAWDATA!G18</f>
        <v>0</v>
      </c>
      <c r="W18" s="90">
        <f>RAWDATA!K18</f>
        <v>0</v>
      </c>
      <c r="X18" s="19" t="str">
        <f t="shared" si="6"/>
        <v/>
      </c>
      <c r="Y18" s="12"/>
      <c r="Z18" s="14"/>
      <c r="AA18" s="8">
        <f t="shared" si="7"/>
        <v>0</v>
      </c>
      <c r="AB18" s="8">
        <f t="shared" si="8"/>
        <v>0</v>
      </c>
      <c r="AC18" s="20">
        <f t="shared" si="9"/>
        <v>0</v>
      </c>
      <c r="AD18" s="5">
        <f t="shared" si="10"/>
        <v>0</v>
      </c>
      <c r="AE18" s="5">
        <f t="shared" si="11"/>
        <v>0</v>
      </c>
    </row>
    <row r="19" spans="1:31" x14ac:dyDescent="0.2">
      <c r="A19" s="16">
        <f>RAWDATA!B19</f>
        <v>0</v>
      </c>
      <c r="B19" s="16">
        <f>RAWDATA!C19</f>
        <v>0</v>
      </c>
      <c r="C19" s="17">
        <f>RAWDATA!D19</f>
        <v>0</v>
      </c>
      <c r="D19" s="17">
        <f>RAWDATA!E19</f>
        <v>0</v>
      </c>
      <c r="E19" s="17">
        <f>RAWDATA!H19</f>
        <v>0</v>
      </c>
      <c r="F19" s="67"/>
      <c r="G19" s="67"/>
      <c r="H19" s="67"/>
      <c r="I19" s="68"/>
      <c r="J19" s="68"/>
      <c r="K19" s="68"/>
      <c r="L19" s="68"/>
      <c r="M19" s="68"/>
      <c r="N19" s="68"/>
      <c r="O19" s="67"/>
      <c r="P19" s="67"/>
      <c r="Q19" s="67"/>
      <c r="R19" s="67"/>
      <c r="S19" s="18">
        <f>IF(ISBLANK(RAWDATA!F19),SUM(F19:R19),RAWDATA!F19)</f>
        <v>0</v>
      </c>
      <c r="T19" s="17" t="str">
        <f>LOOKUP(S19,{0;1;49.1;55.1;61.1;67.1;72.1;78.1;84.1;89.1;94.1;97.1},{"KP";"NB";4;3.7;3.3;3;2.7;2.3;2;1.7;1.3;1})</f>
        <v>KP</v>
      </c>
      <c r="U19" s="12"/>
      <c r="V19" s="88">
        <f>RAWDATA!G19</f>
        <v>0</v>
      </c>
      <c r="W19" s="90">
        <f>RAWDATA!K19</f>
        <v>0</v>
      </c>
      <c r="X19" s="19" t="str">
        <f t="shared" si="6"/>
        <v/>
      </c>
      <c r="Y19" s="12"/>
      <c r="Z19" s="14"/>
      <c r="AA19" s="8">
        <f t="shared" si="7"/>
        <v>0</v>
      </c>
      <c r="AB19" s="8">
        <f t="shared" si="8"/>
        <v>0</v>
      </c>
      <c r="AC19" s="20">
        <f t="shared" si="9"/>
        <v>0</v>
      </c>
      <c r="AD19" s="5">
        <f t="shared" si="10"/>
        <v>0</v>
      </c>
      <c r="AE19" s="5">
        <f t="shared" si="11"/>
        <v>0</v>
      </c>
    </row>
    <row r="20" spans="1:31" x14ac:dyDescent="0.2">
      <c r="A20" s="16">
        <f>RAWDATA!B20</f>
        <v>0</v>
      </c>
      <c r="B20" s="16">
        <f>RAWDATA!C20</f>
        <v>0</v>
      </c>
      <c r="C20" s="17">
        <f>RAWDATA!D20</f>
        <v>0</v>
      </c>
      <c r="D20" s="17">
        <f>RAWDATA!E20</f>
        <v>0</v>
      </c>
      <c r="E20" s="17">
        <f>RAWDATA!H20</f>
        <v>0</v>
      </c>
      <c r="F20" s="71"/>
      <c r="G20" s="71"/>
      <c r="H20" s="71"/>
      <c r="I20" s="71"/>
      <c r="J20" s="71"/>
      <c r="K20" s="71"/>
      <c r="L20" s="71"/>
      <c r="M20" s="71"/>
      <c r="N20" s="71"/>
      <c r="O20" s="71"/>
      <c r="P20" s="71"/>
      <c r="Q20" s="71"/>
      <c r="R20" s="71"/>
      <c r="S20" s="18">
        <f>IF(ISBLANK(RAWDATA!F20),SUM(F20:R20),RAWDATA!F20)</f>
        <v>0</v>
      </c>
      <c r="T20" s="17" t="str">
        <f>LOOKUP(S20,{0;1;49.1;55.1;61.1;67.1;72.1;78.1;84.1;89.1;94.1;97.1},{"KP";"NB";4;3.7;3.3;3;2.7;2.3;2;1.7;1.3;1})</f>
        <v>KP</v>
      </c>
      <c r="U20" s="12"/>
      <c r="V20" s="88">
        <f>RAWDATA!G20</f>
        <v>0</v>
      </c>
      <c r="W20" s="90">
        <f>RAWDATA!K20</f>
        <v>0</v>
      </c>
      <c r="X20" s="19" t="str">
        <f t="shared" si="6"/>
        <v/>
      </c>
      <c r="Y20" s="12"/>
      <c r="Z20" s="14"/>
      <c r="AA20" s="8">
        <f t="shared" si="7"/>
        <v>0</v>
      </c>
      <c r="AB20" s="8">
        <f t="shared" si="8"/>
        <v>0</v>
      </c>
      <c r="AC20" s="20">
        <f t="shared" si="9"/>
        <v>0</v>
      </c>
      <c r="AD20" s="5">
        <f t="shared" si="10"/>
        <v>0</v>
      </c>
      <c r="AE20" s="5">
        <f t="shared" si="11"/>
        <v>0</v>
      </c>
    </row>
    <row r="21" spans="1:31" x14ac:dyDescent="0.2">
      <c r="A21" s="16">
        <f>RAWDATA!B21</f>
        <v>0</v>
      </c>
      <c r="B21" s="16">
        <f>RAWDATA!C21</f>
        <v>0</v>
      </c>
      <c r="C21" s="17">
        <f>RAWDATA!D21</f>
        <v>0</v>
      </c>
      <c r="D21" s="17">
        <f>RAWDATA!E21</f>
        <v>0</v>
      </c>
      <c r="E21" s="17">
        <f>RAWDATA!H21</f>
        <v>0</v>
      </c>
      <c r="F21" s="71"/>
      <c r="G21" s="71"/>
      <c r="H21" s="71"/>
      <c r="I21" s="71"/>
      <c r="J21" s="71"/>
      <c r="K21" s="71"/>
      <c r="L21" s="71"/>
      <c r="M21" s="71"/>
      <c r="N21" s="71"/>
      <c r="O21" s="71"/>
      <c r="P21" s="71"/>
      <c r="Q21" s="71"/>
      <c r="R21" s="71"/>
      <c r="S21" s="18">
        <f>IF(ISBLANK(RAWDATA!F21),SUM(F21:R21),RAWDATA!F21)</f>
        <v>0</v>
      </c>
      <c r="T21" s="17" t="str">
        <f>LOOKUP(S21,{0;1;49.1;55.1;61.1;67.1;72.1;78.1;84.1;89.1;94.1;97.1},{"KP";"NB";4;3.7;3.3;3;2.7;2.3;2;1.7;1.3;1})</f>
        <v>KP</v>
      </c>
      <c r="U21" s="12"/>
      <c r="V21" s="88">
        <f>RAWDATA!G21</f>
        <v>0</v>
      </c>
      <c r="W21" s="90">
        <f>RAWDATA!K21</f>
        <v>0</v>
      </c>
      <c r="X21" s="19" t="str">
        <f t="shared" si="6"/>
        <v/>
      </c>
      <c r="Y21" s="12"/>
      <c r="Z21" s="14"/>
      <c r="AA21" s="8">
        <f t="shared" si="7"/>
        <v>0</v>
      </c>
      <c r="AB21" s="8">
        <f t="shared" si="8"/>
        <v>0</v>
      </c>
      <c r="AC21" s="20">
        <f t="shared" si="9"/>
        <v>0</v>
      </c>
      <c r="AD21" s="5">
        <f t="shared" si="10"/>
        <v>0</v>
      </c>
      <c r="AE21" s="5">
        <f t="shared" si="11"/>
        <v>0</v>
      </c>
    </row>
    <row r="22" spans="1:31" x14ac:dyDescent="0.2">
      <c r="A22" s="16">
        <f>RAWDATA!B22</f>
        <v>0</v>
      </c>
      <c r="B22" s="16">
        <f>RAWDATA!C22</f>
        <v>0</v>
      </c>
      <c r="C22" s="17">
        <f>RAWDATA!D22</f>
        <v>0</v>
      </c>
      <c r="D22" s="17">
        <f>RAWDATA!E22</f>
        <v>0</v>
      </c>
      <c r="E22" s="17">
        <f>RAWDATA!H22</f>
        <v>0</v>
      </c>
      <c r="F22" s="71"/>
      <c r="G22" s="71"/>
      <c r="H22" s="71"/>
      <c r="I22" s="71"/>
      <c r="J22" s="71"/>
      <c r="K22" s="71"/>
      <c r="L22" s="71"/>
      <c r="M22" s="71"/>
      <c r="N22" s="71"/>
      <c r="O22" s="71"/>
      <c r="P22" s="71"/>
      <c r="Q22" s="71"/>
      <c r="R22" s="71"/>
      <c r="S22" s="18">
        <f>IF(ISBLANK(RAWDATA!F22),SUM(F22:R22),RAWDATA!F22)</f>
        <v>0</v>
      </c>
      <c r="T22" s="17" t="str">
        <f>LOOKUP(S22,{0;1;49.1;55.1;61.1;67.1;72.1;78.1;84.1;89.1;94.1;97.1},{"KP";"NB";4;3.7;3.3;3;2.7;2.3;2;1.7;1.3;1})</f>
        <v>KP</v>
      </c>
      <c r="U22" s="12"/>
      <c r="V22" s="88">
        <f>RAWDATA!G22</f>
        <v>0</v>
      </c>
      <c r="W22" s="90">
        <f>RAWDATA!K22</f>
        <v>0</v>
      </c>
      <c r="X22" s="19" t="str">
        <f t="shared" si="6"/>
        <v/>
      </c>
      <c r="Y22" s="12"/>
      <c r="Z22" s="14"/>
      <c r="AA22" s="8">
        <f t="shared" si="7"/>
        <v>0</v>
      </c>
      <c r="AB22" s="8">
        <f t="shared" si="8"/>
        <v>0</v>
      </c>
      <c r="AC22" s="20">
        <f t="shared" si="9"/>
        <v>0</v>
      </c>
      <c r="AD22" s="5">
        <f t="shared" si="10"/>
        <v>0</v>
      </c>
      <c r="AE22" s="5">
        <f t="shared" si="11"/>
        <v>0</v>
      </c>
    </row>
    <row r="23" spans="1:31" x14ac:dyDescent="0.2">
      <c r="A23" s="16">
        <f>RAWDATA!B23</f>
        <v>0</v>
      </c>
      <c r="B23" s="16">
        <f>RAWDATA!C23</f>
        <v>0</v>
      </c>
      <c r="C23" s="17">
        <f>RAWDATA!D23</f>
        <v>0</v>
      </c>
      <c r="D23" s="17">
        <f>RAWDATA!E23</f>
        <v>0</v>
      </c>
      <c r="E23" s="17">
        <f>RAWDATA!H23</f>
        <v>0</v>
      </c>
      <c r="F23" s="71"/>
      <c r="G23" s="71"/>
      <c r="H23" s="71"/>
      <c r="I23" s="71"/>
      <c r="J23" s="71"/>
      <c r="K23" s="71"/>
      <c r="L23" s="71"/>
      <c r="M23" s="71"/>
      <c r="N23" s="71"/>
      <c r="O23" s="71"/>
      <c r="P23" s="71"/>
      <c r="Q23" s="71"/>
      <c r="R23" s="71"/>
      <c r="S23" s="18">
        <f>IF(ISBLANK(RAWDATA!F23),SUM(F23:R23),RAWDATA!F23)</f>
        <v>0</v>
      </c>
      <c r="T23" s="17" t="str">
        <f>LOOKUP(S23,{0;1;49.1;55.1;61.1;67.1;72.1;78.1;84.1;89.1;94.1;97.1},{"KP";"NB";4;3.7;3.3;3;2.7;2.3;2;1.7;1.3;1})</f>
        <v>KP</v>
      </c>
      <c r="U23" s="12"/>
      <c r="V23" s="88">
        <f>RAWDATA!G23</f>
        <v>0</v>
      </c>
      <c r="W23" s="90">
        <f>RAWDATA!K23</f>
        <v>0</v>
      </c>
      <c r="X23" s="19" t="str">
        <f t="shared" si="6"/>
        <v/>
      </c>
      <c r="Y23" s="12"/>
      <c r="Z23" s="14"/>
      <c r="AA23" s="8">
        <f t="shared" si="7"/>
        <v>0</v>
      </c>
      <c r="AB23" s="8">
        <f t="shared" si="8"/>
        <v>0</v>
      </c>
      <c r="AC23" s="20">
        <f t="shared" si="9"/>
        <v>0</v>
      </c>
      <c r="AD23" s="5">
        <f t="shared" si="10"/>
        <v>0</v>
      </c>
      <c r="AE23" s="5">
        <f t="shared" si="11"/>
        <v>0</v>
      </c>
    </row>
    <row r="24" spans="1:31" x14ac:dyDescent="0.2">
      <c r="A24" s="16">
        <f>RAWDATA!B24</f>
        <v>0</v>
      </c>
      <c r="B24" s="16">
        <f>RAWDATA!C24</f>
        <v>0</v>
      </c>
      <c r="C24" s="17">
        <f>RAWDATA!D24</f>
        <v>0</v>
      </c>
      <c r="D24" s="17">
        <f>RAWDATA!E24</f>
        <v>0</v>
      </c>
      <c r="E24" s="17">
        <f>RAWDATA!H24</f>
        <v>0</v>
      </c>
      <c r="F24" s="71"/>
      <c r="G24" s="71"/>
      <c r="H24" s="71"/>
      <c r="I24" s="71"/>
      <c r="J24" s="71"/>
      <c r="K24" s="71"/>
      <c r="L24" s="71"/>
      <c r="M24" s="71"/>
      <c r="N24" s="71"/>
      <c r="O24" s="71"/>
      <c r="P24" s="71"/>
      <c r="Q24" s="71"/>
      <c r="R24" s="71"/>
      <c r="S24" s="18">
        <f>IF(ISBLANK(RAWDATA!F24),SUM(F24:R24),RAWDATA!F24)</f>
        <v>0</v>
      </c>
      <c r="T24" s="17" t="str">
        <f>LOOKUP(S24,{0;1;49.1;55.1;61.1;67.1;72.1;78.1;84.1;89.1;94.1;97.1},{"KP";"NB";4;3.7;3.3;3;2.7;2.3;2;1.7;1.3;1})</f>
        <v>KP</v>
      </c>
      <c r="U24" s="12"/>
      <c r="V24" s="88">
        <f>RAWDATA!G24</f>
        <v>0</v>
      </c>
      <c r="W24" s="90">
        <f>RAWDATA!K24</f>
        <v>0</v>
      </c>
      <c r="X24" s="19" t="str">
        <f t="shared" si="6"/>
        <v/>
      </c>
      <c r="Y24" s="12"/>
      <c r="Z24" s="14"/>
      <c r="AA24" s="8">
        <f t="shared" si="7"/>
        <v>0</v>
      </c>
      <c r="AB24" s="8">
        <f t="shared" si="8"/>
        <v>0</v>
      </c>
      <c r="AC24" s="20">
        <f t="shared" si="9"/>
        <v>0</v>
      </c>
      <c r="AD24" s="5">
        <f t="shared" si="10"/>
        <v>0</v>
      </c>
      <c r="AE24" s="5">
        <f t="shared" si="11"/>
        <v>0</v>
      </c>
    </row>
    <row r="25" spans="1:31" x14ac:dyDescent="0.2">
      <c r="A25" s="16">
        <f>RAWDATA!B25</f>
        <v>0</v>
      </c>
      <c r="B25" s="16">
        <f>RAWDATA!C25</f>
        <v>0</v>
      </c>
      <c r="C25" s="17">
        <f>RAWDATA!D25</f>
        <v>0</v>
      </c>
      <c r="D25" s="17">
        <f>RAWDATA!E25</f>
        <v>0</v>
      </c>
      <c r="E25" s="17">
        <f>RAWDATA!H25</f>
        <v>0</v>
      </c>
      <c r="F25" s="71"/>
      <c r="G25" s="71"/>
      <c r="H25" s="71"/>
      <c r="I25" s="71"/>
      <c r="J25" s="71"/>
      <c r="K25" s="71"/>
      <c r="L25" s="71"/>
      <c r="M25" s="71"/>
      <c r="N25" s="71"/>
      <c r="O25" s="71"/>
      <c r="P25" s="71"/>
      <c r="Q25" s="71"/>
      <c r="R25" s="71"/>
      <c r="S25" s="18">
        <f>IF(ISBLANK(RAWDATA!F25),SUM(F25:R25),RAWDATA!F25)</f>
        <v>0</v>
      </c>
      <c r="T25" s="17" t="str">
        <f>LOOKUP(S25,{0;1;49.1;55.1;61.1;67.1;72.1;78.1;84.1;89.1;94.1;97.1},{"KP";"NB";4;3.7;3.3;3;2.7;2.3;2;1.7;1.3;1})</f>
        <v>KP</v>
      </c>
      <c r="U25" s="12"/>
      <c r="V25" s="88">
        <f>RAWDATA!G25</f>
        <v>0</v>
      </c>
      <c r="W25" s="90">
        <f>RAWDATA!K25</f>
        <v>0</v>
      </c>
      <c r="X25" s="19" t="str">
        <f t="shared" si="6"/>
        <v/>
      </c>
      <c r="Y25" s="12"/>
      <c r="Z25" s="14"/>
      <c r="AA25" s="8"/>
      <c r="AB25" s="8"/>
      <c r="AC25" s="20"/>
    </row>
    <row r="26" spans="1:31" x14ac:dyDescent="0.2">
      <c r="A26" s="16">
        <f>RAWDATA!B26</f>
        <v>0</v>
      </c>
      <c r="B26" s="16">
        <f>RAWDATA!C26</f>
        <v>0</v>
      </c>
      <c r="C26" s="17">
        <f>RAWDATA!D26</f>
        <v>0</v>
      </c>
      <c r="D26" s="17">
        <f>RAWDATA!E26</f>
        <v>0</v>
      </c>
      <c r="E26" s="17">
        <f>RAWDATA!H26</f>
        <v>0</v>
      </c>
      <c r="F26" s="71"/>
      <c r="G26" s="71"/>
      <c r="H26" s="71"/>
      <c r="I26" s="71"/>
      <c r="J26" s="71"/>
      <c r="K26" s="71"/>
      <c r="L26" s="71"/>
      <c r="M26" s="71"/>
      <c r="N26" s="71"/>
      <c r="O26" s="71"/>
      <c r="P26" s="71"/>
      <c r="Q26" s="71"/>
      <c r="R26" s="71"/>
      <c r="S26" s="18">
        <f>IF(ISBLANK(RAWDATA!F26),SUM(F26:R26),RAWDATA!F26)</f>
        <v>0</v>
      </c>
      <c r="T26" s="17" t="str">
        <f>LOOKUP(S26,{0;1;49.1;55.1;61.1;67.1;72.1;78.1;84.1;89.1;94.1;97.1},{"KP";"NB";4;3.7;3.3;3;2.7;2.3;2;1.7;1.3;1})</f>
        <v>KP</v>
      </c>
      <c r="U26" s="12"/>
      <c r="V26" s="88">
        <f>RAWDATA!G26</f>
        <v>0</v>
      </c>
      <c r="W26" s="90">
        <f>RAWDATA!K26</f>
        <v>0</v>
      </c>
      <c r="X26" s="19" t="str">
        <f t="shared" si="6"/>
        <v/>
      </c>
      <c r="Y26" s="12"/>
      <c r="Z26" s="14"/>
      <c r="AA26" s="8"/>
      <c r="AB26" s="8"/>
      <c r="AC26" s="20"/>
    </row>
    <row r="27" spans="1:31" x14ac:dyDescent="0.2">
      <c r="A27" s="16">
        <f>RAWDATA!B27</f>
        <v>0</v>
      </c>
      <c r="B27" s="16">
        <f>RAWDATA!C27</f>
        <v>0</v>
      </c>
      <c r="C27" s="17">
        <f>RAWDATA!D27</f>
        <v>0</v>
      </c>
      <c r="D27" s="17">
        <f>RAWDATA!E27</f>
        <v>0</v>
      </c>
      <c r="E27" s="17">
        <f>RAWDATA!H27</f>
        <v>0</v>
      </c>
      <c r="F27" s="71"/>
      <c r="G27" s="71"/>
      <c r="H27" s="71"/>
      <c r="I27" s="71"/>
      <c r="J27" s="71"/>
      <c r="K27" s="71"/>
      <c r="L27" s="71"/>
      <c r="M27" s="71"/>
      <c r="N27" s="71"/>
      <c r="O27" s="71"/>
      <c r="P27" s="71"/>
      <c r="Q27" s="71"/>
      <c r="R27" s="71"/>
      <c r="S27" s="18">
        <f>IF(ISBLANK(RAWDATA!F27),SUM(F27:R27),RAWDATA!F27)</f>
        <v>0</v>
      </c>
      <c r="T27" s="17" t="str">
        <f>LOOKUP(S27,{0;1;49.1;55.1;61.1;67.1;72.1;78.1;84.1;89.1;94.1;97.1},{"KP";"NB";4;3.7;3.3;3;2.7;2.3;2;1.7;1.3;1})</f>
        <v>KP</v>
      </c>
      <c r="U27" s="12"/>
      <c r="V27" s="88">
        <f>RAWDATA!G27</f>
        <v>0</v>
      </c>
      <c r="W27" s="90">
        <f>RAWDATA!K27</f>
        <v>0</v>
      </c>
      <c r="X27" s="19" t="str">
        <f t="shared" si="6"/>
        <v/>
      </c>
      <c r="Y27" s="12"/>
      <c r="Z27" s="14"/>
      <c r="AA27" s="8"/>
      <c r="AB27" s="8"/>
      <c r="AC27" s="20"/>
    </row>
    <row r="28" spans="1:31" x14ac:dyDescent="0.2">
      <c r="A28" s="16">
        <f>RAWDATA!B28</f>
        <v>0</v>
      </c>
      <c r="B28" s="16">
        <f>RAWDATA!C28</f>
        <v>0</v>
      </c>
      <c r="C28" s="17">
        <f>RAWDATA!D28</f>
        <v>0</v>
      </c>
      <c r="D28" s="17">
        <f>RAWDATA!E28</f>
        <v>0</v>
      </c>
      <c r="E28" s="17">
        <f>RAWDATA!H28</f>
        <v>0</v>
      </c>
      <c r="F28" s="71"/>
      <c r="G28" s="71"/>
      <c r="H28" s="71"/>
      <c r="I28" s="71"/>
      <c r="J28" s="71"/>
      <c r="K28" s="71"/>
      <c r="L28" s="71"/>
      <c r="M28" s="71"/>
      <c r="N28" s="71"/>
      <c r="O28" s="71"/>
      <c r="P28" s="71"/>
      <c r="Q28" s="71"/>
      <c r="R28" s="71"/>
      <c r="S28" s="18">
        <f>IF(ISBLANK(RAWDATA!F28),SUM(F28:R28),RAWDATA!F28)</f>
        <v>0</v>
      </c>
      <c r="T28" s="17" t="str">
        <f>LOOKUP(S28,{0;1;49.1;55.1;61.1;67.1;72.1;78.1;84.1;89.1;94.1;97.1},{"KP";"NB";4;3.7;3.3;3;2.7;2.3;2;1.7;1.3;1})</f>
        <v>KP</v>
      </c>
      <c r="U28" s="12"/>
      <c r="V28" s="88">
        <f>RAWDATA!G28</f>
        <v>0</v>
      </c>
      <c r="W28" s="90">
        <f>RAWDATA!K28</f>
        <v>0</v>
      </c>
      <c r="X28" s="19" t="str">
        <f t="shared" si="6"/>
        <v/>
      </c>
      <c r="Y28" s="12"/>
      <c r="Z28" s="14"/>
      <c r="AA28" s="8"/>
      <c r="AB28" s="8"/>
      <c r="AC28" s="20"/>
    </row>
    <row r="29" spans="1:31" x14ac:dyDescent="0.2">
      <c r="A29" s="16">
        <f>RAWDATA!B29</f>
        <v>0</v>
      </c>
      <c r="B29" s="16">
        <f>RAWDATA!C29</f>
        <v>0</v>
      </c>
      <c r="C29" s="17">
        <f>RAWDATA!D29</f>
        <v>0</v>
      </c>
      <c r="D29" s="17">
        <f>RAWDATA!E29</f>
        <v>0</v>
      </c>
      <c r="E29" s="17">
        <f>RAWDATA!H29</f>
        <v>0</v>
      </c>
      <c r="F29" s="71"/>
      <c r="G29" s="71"/>
      <c r="H29" s="71"/>
      <c r="I29" s="71"/>
      <c r="J29" s="71"/>
      <c r="K29" s="71"/>
      <c r="L29" s="71"/>
      <c r="M29" s="71"/>
      <c r="N29" s="71"/>
      <c r="O29" s="71"/>
      <c r="P29" s="71"/>
      <c r="Q29" s="71"/>
      <c r="R29" s="71"/>
      <c r="S29" s="18">
        <f>IF(ISBLANK(RAWDATA!F29),SUM(F29:R29),RAWDATA!F29)</f>
        <v>0</v>
      </c>
      <c r="T29" s="17" t="str">
        <f>LOOKUP(S29,{0;1;49.1;55.1;61.1;67.1;72.1;78.1;84.1;89.1;94.1;97.1},{"KP";"NB";4;3.7;3.3;3;2.7;2.3;2;1.7;1.3;1})</f>
        <v>KP</v>
      </c>
      <c r="U29" s="12"/>
      <c r="V29" s="88">
        <f>RAWDATA!G29</f>
        <v>0</v>
      </c>
      <c r="W29" s="90">
        <f>RAWDATA!K29</f>
        <v>0</v>
      </c>
      <c r="X29" s="19" t="str">
        <f t="shared" si="6"/>
        <v/>
      </c>
      <c r="Y29" s="12"/>
      <c r="Z29" s="14"/>
      <c r="AA29" s="8"/>
      <c r="AB29" s="8"/>
      <c r="AC29" s="20"/>
    </row>
    <row r="30" spans="1:31" x14ac:dyDescent="0.2">
      <c r="A30" s="16">
        <f>RAWDATA!B30</f>
        <v>0</v>
      </c>
      <c r="B30" s="16">
        <f>RAWDATA!C30</f>
        <v>0</v>
      </c>
      <c r="C30" s="17">
        <f>RAWDATA!D30</f>
        <v>0</v>
      </c>
      <c r="D30" s="17">
        <f>RAWDATA!E30</f>
        <v>0</v>
      </c>
      <c r="E30" s="17">
        <f>RAWDATA!H30</f>
        <v>0</v>
      </c>
      <c r="F30" s="71"/>
      <c r="G30" s="71"/>
      <c r="H30" s="71"/>
      <c r="I30" s="71"/>
      <c r="J30" s="71"/>
      <c r="K30" s="71"/>
      <c r="L30" s="71"/>
      <c r="M30" s="71"/>
      <c r="N30" s="71"/>
      <c r="O30" s="71"/>
      <c r="P30" s="71"/>
      <c r="Q30" s="71"/>
      <c r="R30" s="71"/>
      <c r="S30" s="18">
        <f>IF(ISBLANK(RAWDATA!F30),SUM(F30:R30),RAWDATA!F30)</f>
        <v>0</v>
      </c>
      <c r="T30" s="17" t="str">
        <f>LOOKUP(S30,{0;1;49.1;55.1;61.1;67.1;72.1;78.1;84.1;89.1;94.1;97.1},{"KP";"NB";4;3.7;3.3;3;2.7;2.3;2;1.7;1.3;1})</f>
        <v>KP</v>
      </c>
      <c r="U30" s="12"/>
      <c r="V30" s="88">
        <f>RAWDATA!G30</f>
        <v>0</v>
      </c>
      <c r="W30" s="90">
        <f>RAWDATA!K30</f>
        <v>0</v>
      </c>
      <c r="X30" s="19" t="str">
        <f t="shared" si="6"/>
        <v/>
      </c>
      <c r="Y30" s="12"/>
      <c r="Z30" s="14"/>
      <c r="AA30" s="8"/>
      <c r="AB30" s="8"/>
      <c r="AC30" s="20"/>
    </row>
    <row r="31" spans="1:31" x14ac:dyDescent="0.2">
      <c r="A31" s="16">
        <f>RAWDATA!B31</f>
        <v>0</v>
      </c>
      <c r="B31" s="16">
        <f>RAWDATA!C31</f>
        <v>0</v>
      </c>
      <c r="C31" s="17">
        <f>RAWDATA!D31</f>
        <v>0</v>
      </c>
      <c r="D31" s="17">
        <f>RAWDATA!E31</f>
        <v>0</v>
      </c>
      <c r="E31" s="17">
        <f>RAWDATA!H31</f>
        <v>0</v>
      </c>
      <c r="F31" s="71"/>
      <c r="G31" s="71"/>
      <c r="H31" s="71"/>
      <c r="I31" s="71"/>
      <c r="J31" s="71"/>
      <c r="K31" s="71"/>
      <c r="L31" s="71"/>
      <c r="M31" s="71"/>
      <c r="N31" s="71"/>
      <c r="O31" s="71"/>
      <c r="P31" s="71"/>
      <c r="Q31" s="71"/>
      <c r="R31" s="71"/>
      <c r="S31" s="18">
        <f>IF(ISBLANK(RAWDATA!F31),SUM(F31:R31),RAWDATA!F31)</f>
        <v>0</v>
      </c>
      <c r="T31" s="17" t="str">
        <f>LOOKUP(S31,{0;1;49.1;55.1;61.1;67.1;72.1;78.1;84.1;89.1;94.1;97.1},{"KP";"NB";4;3.7;3.3;3;2.7;2.3;2;1.7;1.3;1})</f>
        <v>KP</v>
      </c>
      <c r="U31" s="12"/>
      <c r="V31" s="88">
        <f>RAWDATA!G31</f>
        <v>0</v>
      </c>
      <c r="W31" s="90">
        <f>RAWDATA!K31</f>
        <v>0</v>
      </c>
      <c r="X31" s="19" t="str">
        <f t="shared" si="6"/>
        <v/>
      </c>
      <c r="Y31" s="12"/>
      <c r="Z31" s="14"/>
      <c r="AA31" s="8"/>
      <c r="AB31" s="8"/>
      <c r="AC31" s="20"/>
    </row>
    <row r="32" spans="1:31" x14ac:dyDescent="0.2">
      <c r="A32" s="16">
        <f>RAWDATA!B32</f>
        <v>0</v>
      </c>
      <c r="B32" s="16">
        <f>RAWDATA!C32</f>
        <v>0</v>
      </c>
      <c r="C32" s="17">
        <f>RAWDATA!D32</f>
        <v>0</v>
      </c>
      <c r="D32" s="17">
        <f>RAWDATA!E32</f>
        <v>0</v>
      </c>
      <c r="E32" s="17">
        <f>RAWDATA!H32</f>
        <v>0</v>
      </c>
      <c r="F32" s="71"/>
      <c r="G32" s="71"/>
      <c r="H32" s="71"/>
      <c r="I32" s="71"/>
      <c r="J32" s="71"/>
      <c r="K32" s="71"/>
      <c r="L32" s="71"/>
      <c r="M32" s="71"/>
      <c r="N32" s="71"/>
      <c r="O32" s="71"/>
      <c r="P32" s="71"/>
      <c r="Q32" s="71"/>
      <c r="R32" s="71"/>
      <c r="S32" s="18">
        <f>IF(ISBLANK(RAWDATA!F32),SUM(F32:R32),RAWDATA!F32)</f>
        <v>0</v>
      </c>
      <c r="T32" s="17" t="str">
        <f>LOOKUP(S32,{0;1;49.1;55.1;61.1;67.1;72.1;78.1;84.1;89.1;94.1;97.1},{"KP";"NB";4;3.7;3.3;3;2.7;2.3;2;1.7;1.3;1})</f>
        <v>KP</v>
      </c>
      <c r="U32" s="12"/>
      <c r="V32" s="88">
        <f>RAWDATA!G32</f>
        <v>0</v>
      </c>
      <c r="W32" s="90">
        <f>RAWDATA!K32</f>
        <v>0</v>
      </c>
      <c r="X32" s="19" t="str">
        <f t="shared" si="6"/>
        <v/>
      </c>
      <c r="Y32" s="12"/>
      <c r="Z32" s="14"/>
      <c r="AA32" s="8"/>
      <c r="AB32" s="8"/>
      <c r="AC32" s="20"/>
    </row>
    <row r="33" spans="1:31" x14ac:dyDescent="0.2">
      <c r="A33" s="16">
        <f>RAWDATA!B33</f>
        <v>0</v>
      </c>
      <c r="B33" s="16">
        <f>RAWDATA!C33</f>
        <v>0</v>
      </c>
      <c r="C33" s="17">
        <f>RAWDATA!D33</f>
        <v>0</v>
      </c>
      <c r="D33" s="17">
        <f>RAWDATA!E33</f>
        <v>0</v>
      </c>
      <c r="E33" s="17">
        <f>RAWDATA!H33</f>
        <v>0</v>
      </c>
      <c r="F33" s="71"/>
      <c r="G33" s="71"/>
      <c r="H33" s="71"/>
      <c r="I33" s="71"/>
      <c r="J33" s="71"/>
      <c r="K33" s="71"/>
      <c r="L33" s="71"/>
      <c r="M33" s="71"/>
      <c r="N33" s="71"/>
      <c r="O33" s="71"/>
      <c r="P33" s="71"/>
      <c r="Q33" s="71"/>
      <c r="R33" s="71"/>
      <c r="S33" s="18">
        <f>IF(ISBLANK(RAWDATA!F33),SUM(F33:R33),RAWDATA!F33)</f>
        <v>0</v>
      </c>
      <c r="T33" s="17" t="str">
        <f>LOOKUP(S33,{0;1;49.1;55.1;61.1;67.1;72.1;78.1;84.1;89.1;94.1;97.1},{"KP";"NB";4;3.7;3.3;3;2.7;2.3;2;1.7;1.3;1})</f>
        <v>KP</v>
      </c>
      <c r="U33" s="12"/>
      <c r="V33" s="88">
        <f>RAWDATA!G33</f>
        <v>0</v>
      </c>
      <c r="W33" s="90">
        <f>RAWDATA!K33</f>
        <v>0</v>
      </c>
      <c r="X33" s="19" t="str">
        <f t="shared" si="6"/>
        <v/>
      </c>
      <c r="Y33" s="12"/>
      <c r="Z33" s="14"/>
      <c r="AA33" s="8"/>
      <c r="AB33" s="8"/>
      <c r="AC33" s="20"/>
    </row>
    <row r="34" spans="1:31" x14ac:dyDescent="0.2">
      <c r="A34" s="16">
        <f>RAWDATA!B34</f>
        <v>0</v>
      </c>
      <c r="B34" s="16">
        <f>RAWDATA!C34</f>
        <v>0</v>
      </c>
      <c r="C34" s="17">
        <f>RAWDATA!D34</f>
        <v>0</v>
      </c>
      <c r="D34" s="17">
        <f>RAWDATA!E34</f>
        <v>0</v>
      </c>
      <c r="E34" s="17">
        <f>RAWDATA!H34</f>
        <v>0</v>
      </c>
      <c r="F34" s="71"/>
      <c r="G34" s="71"/>
      <c r="H34" s="71"/>
      <c r="I34" s="71"/>
      <c r="J34" s="71"/>
      <c r="K34" s="71"/>
      <c r="L34" s="71"/>
      <c r="M34" s="71"/>
      <c r="N34" s="71"/>
      <c r="O34" s="71"/>
      <c r="P34" s="71"/>
      <c r="Q34" s="71"/>
      <c r="R34" s="71"/>
      <c r="S34" s="18">
        <f>IF(ISBLANK(RAWDATA!F34),SUM(F34:R34),RAWDATA!F34)</f>
        <v>0</v>
      </c>
      <c r="T34" s="17" t="str">
        <f>LOOKUP(S34,{0;1;49.1;55.1;61.1;67.1;72.1;78.1;84.1;89.1;94.1;97.1},{"KP";"NB";4;3.7;3.3;3;2.7;2.3;2;1.7;1.3;1})</f>
        <v>KP</v>
      </c>
      <c r="U34" s="12"/>
      <c r="V34" s="88">
        <f>RAWDATA!G34</f>
        <v>0</v>
      </c>
      <c r="W34" s="90">
        <f>RAWDATA!K34</f>
        <v>0</v>
      </c>
      <c r="X34" s="19" t="str">
        <f t="shared" si="6"/>
        <v/>
      </c>
      <c r="Y34" s="12"/>
      <c r="Z34" s="14"/>
      <c r="AA34" s="8"/>
      <c r="AB34" s="8"/>
      <c r="AC34" s="20"/>
    </row>
    <row r="35" spans="1:31" x14ac:dyDescent="0.2">
      <c r="A35" s="16">
        <f>RAWDATA!B35</f>
        <v>0</v>
      </c>
      <c r="B35" s="16">
        <f>RAWDATA!C35</f>
        <v>0</v>
      </c>
      <c r="C35" s="17">
        <f>RAWDATA!D35</f>
        <v>0</v>
      </c>
      <c r="D35" s="17">
        <f>RAWDATA!E35</f>
        <v>0</v>
      </c>
      <c r="E35" s="17">
        <f>RAWDATA!H35</f>
        <v>0</v>
      </c>
      <c r="F35" s="71"/>
      <c r="G35" s="71"/>
      <c r="H35" s="71"/>
      <c r="I35" s="71"/>
      <c r="J35" s="71"/>
      <c r="K35" s="71"/>
      <c r="L35" s="71"/>
      <c r="M35" s="71"/>
      <c r="N35" s="71"/>
      <c r="O35" s="71"/>
      <c r="P35" s="71"/>
      <c r="Q35" s="71"/>
      <c r="R35" s="71"/>
      <c r="S35" s="18">
        <f>IF(ISBLANK(RAWDATA!F35),SUM(F35:R35),RAWDATA!F35)</f>
        <v>0</v>
      </c>
      <c r="T35" s="17" t="str">
        <f>LOOKUP(S35,{0;1;49.1;55.1;61.1;67.1;72.1;78.1;84.1;89.1;94.1;97.1},{"KP";"NB";4;3.7;3.3;3;2.7;2.3;2;1.7;1.3;1})</f>
        <v>KP</v>
      </c>
      <c r="U35" s="12"/>
      <c r="V35" s="88">
        <f>RAWDATA!G35</f>
        <v>0</v>
      </c>
      <c r="W35" s="90">
        <f>RAWDATA!K35</f>
        <v>0</v>
      </c>
      <c r="X35" s="19" t="str">
        <f t="shared" si="6"/>
        <v/>
      </c>
      <c r="Y35" s="12"/>
      <c r="Z35" s="14"/>
      <c r="AA35" s="8">
        <f t="shared" si="7"/>
        <v>0</v>
      </c>
      <c r="AB35" s="8">
        <f t="shared" si="8"/>
        <v>0</v>
      </c>
      <c r="AC35" s="20">
        <f t="shared" si="9"/>
        <v>0</v>
      </c>
      <c r="AD35" s="5">
        <f t="shared" si="10"/>
        <v>0</v>
      </c>
      <c r="AE35" s="5">
        <f t="shared" si="11"/>
        <v>0</v>
      </c>
    </row>
    <row r="36" spans="1:31" x14ac:dyDescent="0.2">
      <c r="A36" s="16">
        <f>RAWDATA!B36</f>
        <v>0</v>
      </c>
      <c r="B36" s="16">
        <f>RAWDATA!C36</f>
        <v>0</v>
      </c>
      <c r="C36" s="17">
        <f>RAWDATA!D36</f>
        <v>0</v>
      </c>
      <c r="D36" s="17">
        <f>RAWDATA!E36</f>
        <v>0</v>
      </c>
      <c r="E36" s="17">
        <f>RAWDATA!H36</f>
        <v>0</v>
      </c>
      <c r="F36" s="71"/>
      <c r="G36" s="71"/>
      <c r="H36" s="71"/>
      <c r="I36" s="71"/>
      <c r="J36" s="71"/>
      <c r="K36" s="71"/>
      <c r="L36" s="71"/>
      <c r="M36" s="71"/>
      <c r="N36" s="71"/>
      <c r="O36" s="71"/>
      <c r="P36" s="71"/>
      <c r="Q36" s="71"/>
      <c r="R36" s="71"/>
      <c r="S36" s="18">
        <f>IF(ISBLANK(RAWDATA!F36),SUM(F36:R36),RAWDATA!F36)</f>
        <v>0</v>
      </c>
      <c r="T36" s="17" t="str">
        <f>LOOKUP(S36,{0;1;49.1;55.1;61.1;67.1;72.1;78.1;84.1;89.1;94.1;97.1},{"KP";"NB";4;3.7;3.3;3;2.7;2.3;2;1.7;1.3;1})</f>
        <v>KP</v>
      </c>
      <c r="U36" s="12"/>
      <c r="V36" s="88">
        <f>RAWDATA!G36</f>
        <v>0</v>
      </c>
      <c r="W36" s="90">
        <f>RAWDATA!K36</f>
        <v>0</v>
      </c>
      <c r="X36" s="19" t="str">
        <f t="shared" si="6"/>
        <v/>
      </c>
      <c r="Y36" s="12"/>
      <c r="Z36" s="14"/>
      <c r="AA36" s="8">
        <f t="shared" si="7"/>
        <v>0</v>
      </c>
      <c r="AB36" s="8">
        <f t="shared" si="8"/>
        <v>0</v>
      </c>
      <c r="AC36" s="20">
        <f t="shared" si="9"/>
        <v>0</v>
      </c>
      <c r="AD36" s="5">
        <f t="shared" si="10"/>
        <v>0</v>
      </c>
      <c r="AE36" s="5">
        <f t="shared" si="11"/>
        <v>0</v>
      </c>
    </row>
    <row r="37" spans="1:31" x14ac:dyDescent="0.2">
      <c r="A37" s="12"/>
      <c r="B37" s="12" t="s">
        <v>21</v>
      </c>
      <c r="C37" s="21"/>
      <c r="D37" s="21"/>
      <c r="E37" s="21"/>
      <c r="F37" s="21"/>
      <c r="G37" s="21"/>
      <c r="H37" s="21"/>
      <c r="I37" s="21"/>
      <c r="J37" s="21"/>
      <c r="K37" s="21"/>
      <c r="L37" s="21"/>
      <c r="M37" s="21"/>
      <c r="N37" s="21"/>
      <c r="O37" s="21"/>
      <c r="P37" s="21"/>
      <c r="Q37" s="21"/>
      <c r="R37" s="21"/>
      <c r="S37" s="22">
        <v>100</v>
      </c>
      <c r="T37" s="12"/>
      <c r="U37" s="12"/>
      <c r="V37" s="12"/>
      <c r="W37" s="21"/>
      <c r="X37" s="15"/>
      <c r="Y37" s="12"/>
      <c r="Z37" s="14"/>
    </row>
    <row r="38" spans="1:31" x14ac:dyDescent="0.2">
      <c r="B38" s="5" t="s">
        <v>22</v>
      </c>
      <c r="T38" s="20" t="e">
        <f t="array" ref="T38">AVERAGE(IF(ISNUMBER(T2:T36),T2:T36))</f>
        <v>#DIV/0!</v>
      </c>
      <c r="U38" s="12"/>
      <c r="V38" s="12"/>
      <c r="X38" s="15"/>
      <c r="Y38" s="12"/>
      <c r="Z38" s="14"/>
    </row>
    <row r="39" spans="1:31" x14ac:dyDescent="0.2">
      <c r="A39" s="12"/>
      <c r="B39" s="12" t="s">
        <v>23</v>
      </c>
      <c r="C39" s="21"/>
      <c r="D39" s="21"/>
      <c r="E39" s="21"/>
      <c r="F39" s="21"/>
      <c r="G39" s="21"/>
      <c r="H39" s="21"/>
      <c r="I39" s="21"/>
      <c r="J39" s="21"/>
      <c r="K39" s="21"/>
      <c r="L39" s="21"/>
      <c r="M39" s="21"/>
      <c r="N39" s="21"/>
      <c r="O39" s="21"/>
      <c r="P39" s="21"/>
      <c r="Q39" s="21"/>
      <c r="R39" s="21"/>
      <c r="S39" s="22"/>
      <c r="T39" s="15" t="e">
        <f>ROUNDUP(STDEVP(T2:T18),1)</f>
        <v>#N/A</v>
      </c>
      <c r="U39" s="12"/>
      <c r="V39" s="12"/>
      <c r="W39" s="21"/>
      <c r="X39" s="15"/>
      <c r="Y39" s="12"/>
      <c r="Z39" s="14"/>
    </row>
    <row r="40" spans="1:31" x14ac:dyDescent="0.2">
      <c r="A40" s="14"/>
      <c r="B40" s="14"/>
      <c r="C40" s="24"/>
      <c r="D40" s="24"/>
      <c r="E40" s="24"/>
      <c r="F40" s="24"/>
      <c r="G40" s="24"/>
      <c r="H40" s="24"/>
      <c r="I40" s="24"/>
      <c r="J40" s="24"/>
      <c r="K40" s="24"/>
      <c r="L40" s="24"/>
      <c r="M40" s="24"/>
      <c r="N40" s="24"/>
      <c r="O40" s="24"/>
      <c r="P40" s="24"/>
      <c r="Q40" s="24"/>
      <c r="R40" s="24"/>
      <c r="S40" s="25"/>
      <c r="T40" s="14"/>
      <c r="U40" s="14"/>
      <c r="V40" s="14"/>
      <c r="W40" s="24"/>
      <c r="X40" s="26"/>
      <c r="Y40" s="14"/>
      <c r="Z40" s="14"/>
    </row>
    <row r="41" spans="1:31" ht="12.75" customHeight="1" x14ac:dyDescent="0.2">
      <c r="A41" s="12" t="s">
        <v>24</v>
      </c>
      <c r="B41" s="27" t="s">
        <v>76</v>
      </c>
      <c r="C41" s="24"/>
      <c r="D41" s="91" t="s">
        <v>25</v>
      </c>
      <c r="E41" s="91"/>
      <c r="F41" s="91"/>
      <c r="G41" s="91"/>
      <c r="H41" s="91"/>
      <c r="I41" s="91"/>
      <c r="J41" s="91"/>
      <c r="K41" s="91"/>
      <c r="L41" s="91"/>
      <c r="M41" s="91"/>
      <c r="N41" s="91"/>
      <c r="O41" s="91"/>
      <c r="P41" s="91"/>
      <c r="Q41" s="91"/>
      <c r="R41" s="91"/>
      <c r="S41" s="92"/>
      <c r="T41" s="93"/>
      <c r="U41" s="93"/>
      <c r="W41" s="23"/>
      <c r="X41" s="26"/>
      <c r="Y41" s="23"/>
      <c r="Z41" s="14"/>
    </row>
    <row r="42" spans="1:31" x14ac:dyDescent="0.2">
      <c r="A42" s="12" t="s">
        <v>26</v>
      </c>
      <c r="B42" s="63" t="s">
        <v>55</v>
      </c>
      <c r="C42" s="24"/>
      <c r="D42" s="94"/>
      <c r="E42" s="94"/>
      <c r="F42" s="94"/>
      <c r="G42" s="94"/>
      <c r="H42" s="94"/>
      <c r="I42" s="94"/>
      <c r="J42" s="94"/>
      <c r="K42" s="94"/>
      <c r="L42" s="94"/>
      <c r="M42" s="94"/>
      <c r="N42" s="94"/>
      <c r="O42" s="94"/>
      <c r="P42" s="94"/>
      <c r="Q42" s="94"/>
      <c r="R42" s="94"/>
      <c r="S42" s="92"/>
      <c r="T42" s="93"/>
      <c r="U42" s="93"/>
      <c r="W42" s="23"/>
      <c r="X42" s="26"/>
      <c r="Y42" s="23"/>
      <c r="Z42" s="14"/>
    </row>
    <row r="43" spans="1:31" x14ac:dyDescent="0.2">
      <c r="A43" s="12" t="s">
        <v>27</v>
      </c>
      <c r="B43" s="63" t="s">
        <v>56</v>
      </c>
      <c r="C43" s="24"/>
      <c r="D43" s="94"/>
      <c r="E43" s="94"/>
      <c r="F43" s="94"/>
      <c r="G43" s="94"/>
      <c r="H43" s="94"/>
      <c r="I43" s="94"/>
      <c r="J43" s="94"/>
      <c r="K43" s="94"/>
      <c r="L43" s="94"/>
      <c r="M43" s="94"/>
      <c r="N43" s="94"/>
      <c r="O43" s="94"/>
      <c r="P43" s="94"/>
      <c r="Q43" s="94"/>
      <c r="R43" s="94"/>
      <c r="S43" s="92"/>
      <c r="T43" s="93"/>
      <c r="U43" s="93"/>
      <c r="W43" s="23"/>
      <c r="X43" s="26"/>
      <c r="Y43" s="23"/>
      <c r="Z43" s="14"/>
    </row>
    <row r="44" spans="1:31" x14ac:dyDescent="0.2">
      <c r="A44" s="12" t="s">
        <v>28</v>
      </c>
      <c r="B44" s="64" t="s">
        <v>57</v>
      </c>
      <c r="C44" s="24"/>
      <c r="D44" s="94"/>
      <c r="E44" s="94"/>
      <c r="F44" s="94"/>
      <c r="G44" s="94"/>
      <c r="H44" s="94"/>
      <c r="I44" s="94"/>
      <c r="J44" s="94"/>
      <c r="K44" s="94"/>
      <c r="L44" s="94"/>
      <c r="M44" s="94"/>
      <c r="N44" s="94"/>
      <c r="O44" s="94"/>
      <c r="P44" s="94"/>
      <c r="Q44" s="94"/>
      <c r="R44" s="94"/>
      <c r="S44" s="92"/>
      <c r="T44" s="93"/>
      <c r="U44" s="93"/>
      <c r="W44" s="23"/>
      <c r="X44" s="26"/>
      <c r="Y44" s="23"/>
      <c r="Z44" s="14"/>
    </row>
    <row r="45" spans="1:31" x14ac:dyDescent="0.2">
      <c r="A45" s="12" t="s">
        <v>29</v>
      </c>
      <c r="B45" s="64" t="s">
        <v>58</v>
      </c>
      <c r="C45" s="24"/>
      <c r="D45" s="94"/>
      <c r="E45" s="94"/>
      <c r="F45" s="94"/>
      <c r="G45" s="94"/>
      <c r="H45" s="94"/>
      <c r="I45" s="94"/>
      <c r="J45" s="94"/>
      <c r="K45" s="94"/>
      <c r="L45" s="94"/>
      <c r="M45" s="94"/>
      <c r="N45" s="94"/>
      <c r="O45" s="94"/>
      <c r="P45" s="94"/>
      <c r="Q45" s="94"/>
      <c r="R45" s="94"/>
      <c r="S45" s="92"/>
      <c r="T45" s="93"/>
      <c r="U45" s="93"/>
      <c r="W45" s="23"/>
      <c r="X45" s="26"/>
      <c r="Y45" s="23"/>
      <c r="Z45" s="14"/>
    </row>
    <row r="46" spans="1:31" x14ac:dyDescent="0.2">
      <c r="A46" s="12" t="s">
        <v>30</v>
      </c>
      <c r="B46" s="64" t="s">
        <v>59</v>
      </c>
      <c r="C46" s="24"/>
      <c r="D46" s="94"/>
      <c r="E46" s="94"/>
      <c r="F46" s="94"/>
      <c r="G46" s="94"/>
      <c r="H46" s="94"/>
      <c r="I46" s="94"/>
      <c r="J46" s="94"/>
      <c r="K46" s="94"/>
      <c r="L46" s="94"/>
      <c r="M46" s="94"/>
      <c r="N46" s="94"/>
      <c r="O46" s="94"/>
      <c r="P46" s="94"/>
      <c r="Q46" s="94"/>
      <c r="R46" s="94"/>
      <c r="S46" s="92"/>
      <c r="T46" s="93"/>
      <c r="U46" s="93"/>
      <c r="W46" s="14"/>
      <c r="X46" s="26"/>
      <c r="Y46" s="23"/>
      <c r="Z46" s="14"/>
    </row>
    <row r="47" spans="1:31" x14ac:dyDescent="0.2">
      <c r="A47" s="12" t="s">
        <v>31</v>
      </c>
      <c r="B47" s="64" t="s">
        <v>60</v>
      </c>
      <c r="C47" s="24"/>
      <c r="D47" s="94"/>
      <c r="E47" s="94"/>
      <c r="F47" s="94"/>
      <c r="G47" s="94"/>
      <c r="H47" s="94"/>
      <c r="I47" s="94"/>
      <c r="J47" s="94"/>
      <c r="K47" s="94"/>
      <c r="L47" s="94"/>
      <c r="M47" s="94"/>
      <c r="N47" s="94"/>
      <c r="O47" s="94"/>
      <c r="P47" s="94"/>
      <c r="Q47" s="94"/>
      <c r="R47" s="94"/>
      <c r="S47" s="92"/>
      <c r="T47" s="93"/>
      <c r="U47" s="93"/>
      <c r="W47" s="23"/>
      <c r="X47" s="26"/>
      <c r="Y47" s="23"/>
      <c r="Z47" s="14"/>
    </row>
    <row r="48" spans="1:31" x14ac:dyDescent="0.2">
      <c r="A48" s="12" t="s">
        <v>32</v>
      </c>
      <c r="B48" s="65" t="s">
        <v>61</v>
      </c>
      <c r="C48" s="24"/>
      <c r="D48" s="94"/>
      <c r="E48" s="94"/>
      <c r="F48" s="94"/>
      <c r="G48" s="94"/>
      <c r="H48" s="94"/>
      <c r="I48" s="94"/>
      <c r="J48" s="94"/>
      <c r="K48" s="94"/>
      <c r="L48" s="94"/>
      <c r="M48" s="94"/>
      <c r="N48" s="94"/>
      <c r="O48" s="94"/>
      <c r="P48" s="94"/>
      <c r="Q48" s="94"/>
      <c r="R48" s="94"/>
      <c r="S48" s="92"/>
      <c r="T48" s="93"/>
      <c r="U48" s="93"/>
      <c r="W48" s="14"/>
      <c r="X48" s="26"/>
      <c r="Y48" s="14"/>
      <c r="Z48" s="14"/>
    </row>
    <row r="49" spans="1:1" x14ac:dyDescent="0.2"/>
    <row r="50" spans="1:1" x14ac:dyDescent="0.2"/>
    <row r="51" spans="1:1" x14ac:dyDescent="0.2"/>
    <row r="52" spans="1:1" hidden="1" x14ac:dyDescent="0.2">
      <c r="A52" s="28"/>
    </row>
    <row r="53" spans="1:1" hidden="1" x14ac:dyDescent="0.2">
      <c r="A53" s="28"/>
    </row>
    <row r="54" spans="1:1" hidden="1" x14ac:dyDescent="0.2">
      <c r="A54" s="28"/>
    </row>
    <row r="55" spans="1:1" hidden="1" x14ac:dyDescent="0.2">
      <c r="A55" s="28"/>
    </row>
    <row r="56" spans="1:1" hidden="1" x14ac:dyDescent="0.2">
      <c r="A56" s="28"/>
    </row>
    <row r="57" spans="1:1" hidden="1" x14ac:dyDescent="0.2">
      <c r="A57" s="28"/>
    </row>
    <row r="58" spans="1:1" hidden="1" x14ac:dyDescent="0.2">
      <c r="A58" s="28"/>
    </row>
    <row r="59" spans="1:1" hidden="1" x14ac:dyDescent="0.2">
      <c r="A59" s="28"/>
    </row>
    <row r="60" spans="1:1" x14ac:dyDescent="0.2"/>
    <row r="61" spans="1:1" x14ac:dyDescent="0.2"/>
    <row r="62" spans="1:1" x14ac:dyDescent="0.2"/>
    <row r="63" spans="1:1" hidden="1" x14ac:dyDescent="0.2">
      <c r="A63" s="28"/>
    </row>
    <row r="64" spans="1:1" hidden="1" x14ac:dyDescent="0.2">
      <c r="A64" s="28"/>
    </row>
    <row r="65" spans="1:1" hidden="1" x14ac:dyDescent="0.2">
      <c r="A65" s="28"/>
    </row>
    <row r="66" spans="1:1" hidden="1" x14ac:dyDescent="0.2">
      <c r="A66" s="28"/>
    </row>
    <row r="67" spans="1:1" hidden="1" x14ac:dyDescent="0.2">
      <c r="A67" s="28"/>
    </row>
    <row r="68" spans="1:1" hidden="1" x14ac:dyDescent="0.2">
      <c r="A68" s="28"/>
    </row>
    <row r="69" spans="1:1" hidden="1" x14ac:dyDescent="0.2">
      <c r="A69" s="28"/>
    </row>
    <row r="70" spans="1:1" hidden="1" x14ac:dyDescent="0.2">
      <c r="A70" s="28"/>
    </row>
  </sheetData>
  <sheetProtection sheet="1" formatColumns="0" selectLockedCells="1"/>
  <mergeCells count="1">
    <mergeCell ref="D41:U48"/>
  </mergeCells>
  <dataValidations disablePrompts="1" count="1">
    <dataValidation errorStyle="information" allowBlank="1" showErrorMessage="1" errorTitle="Inkorrekte Semesterangabe" error="Bitte wählen Sie aus der Dropdown-Liste aus._x000a__x000a_Ihre Eingabe wird nicht automatisch korrigiert." promptTitle="Semester" prompt="Bitte geben Sie das entsprechende Semester an. Wählen Sie aus der Dropdown-Liste." sqref="B47"/>
  </dataValidations>
  <pageMargins left="0.78740157480314954" right="0.78740157480314954" top="1.2598425196850389" bottom="1.0629921259842521" header="0.59055118110236249" footer="0.78740157480314954"/>
  <pageSetup paperSize="9" scale="82" firstPageNumber="0" orientation="landscape" horizontalDpi="300" verticalDpi="300"/>
  <headerFooter scaleWithDoc="0">
    <oddHeader>&amp;L&amp;G&amp;C&amp;"Arial,Fett"&amp;14 &amp;A&amp;R&amp;"Arial Black,Standard"&amp;28 SpZ</oddHeader>
    <oddFooter>&amp;C&amp;"Arial,Standard"&amp;12 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selection activeCell="A39" sqref="A39:XFD39"/>
    </sheetView>
  </sheetViews>
  <sheetFormatPr baseColWidth="10" defaultColWidth="0" defaultRowHeight="15" zeroHeight="1" x14ac:dyDescent="0.25"/>
  <cols>
    <col min="1" max="1" width="11.42578125" customWidth="1"/>
    <col min="2" max="2" width="11.42578125" style="29" customWidth="1"/>
    <col min="3" max="8" width="11.42578125" customWidth="1"/>
    <col min="9" max="9" width="11.42578125" hidden="1" customWidth="1"/>
    <col min="10" max="16384" width="11.42578125" hidden="1"/>
  </cols>
  <sheetData>
    <row r="1" spans="1:4" x14ac:dyDescent="0.25">
      <c r="A1" s="95" t="str">
        <f>Notenliste!B44</f>
        <v>course.name</v>
      </c>
      <c r="B1" s="96"/>
      <c r="C1" s="30" t="s">
        <v>33</v>
      </c>
      <c r="D1" s="31" t="e">
        <f>Notenliste!T38</f>
        <v>#DIV/0!</v>
      </c>
    </row>
    <row r="2" spans="1:4" x14ac:dyDescent="0.25">
      <c r="A2" s="29" t="s">
        <v>14</v>
      </c>
      <c r="B2" s="29" t="s">
        <v>34</v>
      </c>
    </row>
    <row r="3" spans="1:4" x14ac:dyDescent="0.25">
      <c r="A3" s="29">
        <v>1</v>
      </c>
      <c r="B3" s="29">
        <f>COUNTIF(Notenliste!$T$2:$T$36,A3)</f>
        <v>0</v>
      </c>
    </row>
    <row r="4" spans="1:4" x14ac:dyDescent="0.25">
      <c r="A4" s="29">
        <v>1.3</v>
      </c>
      <c r="B4" s="29">
        <f>COUNTIF(Notenliste!$T$2:$T$36,A4)</f>
        <v>0</v>
      </c>
    </row>
    <row r="5" spans="1:4" x14ac:dyDescent="0.25">
      <c r="A5" s="29">
        <v>1.7</v>
      </c>
      <c r="B5" s="29">
        <f>COUNTIF(Notenliste!$T$2:$T$36,A5)</f>
        <v>0</v>
      </c>
    </row>
    <row r="6" spans="1:4" x14ac:dyDescent="0.25">
      <c r="A6" s="29">
        <v>2</v>
      </c>
      <c r="B6" s="29">
        <f>COUNTIF(Notenliste!$T$2:$T$36,A6)</f>
        <v>0</v>
      </c>
    </row>
    <row r="7" spans="1:4" x14ac:dyDescent="0.25">
      <c r="A7" s="29">
        <v>2.2999999999999998</v>
      </c>
      <c r="B7" s="29">
        <f>COUNTIF(Notenliste!$T$2:$T$36,A7)</f>
        <v>0</v>
      </c>
    </row>
    <row r="8" spans="1:4" x14ac:dyDescent="0.25">
      <c r="A8" s="29">
        <v>2.7</v>
      </c>
      <c r="B8" s="29">
        <f>COUNTIF(Notenliste!$T$2:$T$36,A8)</f>
        <v>0</v>
      </c>
    </row>
    <row r="9" spans="1:4" x14ac:dyDescent="0.25">
      <c r="A9" s="29">
        <v>3</v>
      </c>
      <c r="B9" s="29">
        <f>COUNTIF(Notenliste!$T$2:$T$36,A9)</f>
        <v>0</v>
      </c>
    </row>
    <row r="10" spans="1:4" x14ac:dyDescent="0.25">
      <c r="A10" s="29">
        <v>3.3</v>
      </c>
      <c r="B10" s="29">
        <f>COUNTIF(Notenliste!$T$2:$T$36,A10)</f>
        <v>0</v>
      </c>
    </row>
    <row r="11" spans="1:4" x14ac:dyDescent="0.25">
      <c r="A11" s="29">
        <v>3.7</v>
      </c>
      <c r="B11" s="29">
        <f>COUNTIF(Notenliste!$T$2:$T$36,A11)</f>
        <v>0</v>
      </c>
    </row>
    <row r="12" spans="1:4" x14ac:dyDescent="0.25">
      <c r="A12" s="29">
        <v>4</v>
      </c>
      <c r="B12" s="29">
        <f>COUNTIF(Notenliste!$T$2:$T$36,A12)</f>
        <v>0</v>
      </c>
    </row>
    <row r="13" spans="1:4" x14ac:dyDescent="0.25">
      <c r="A13" s="29" t="s">
        <v>35</v>
      </c>
      <c r="B13" s="29">
        <f>COUNTIF(Notenliste!$T$2:$T$36,A13)</f>
        <v>0</v>
      </c>
    </row>
  </sheetData>
  <mergeCells count="1">
    <mergeCell ref="A1:B1"/>
  </mergeCells>
  <pageMargins left="0.70866141732283472" right="0.70866141732283472" top="0.78740157480314954" bottom="0.78740157480314954" header="0.31496062992125978" footer="0.31496062992125978"/>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4"/>
  <sheetViews>
    <sheetView showZeros="0" topLeftCell="C1" workbookViewId="0">
      <selection activeCell="M3" sqref="M1:M1048576"/>
    </sheetView>
  </sheetViews>
  <sheetFormatPr baseColWidth="10" defaultColWidth="0" defaultRowHeight="15" zeroHeight="1" x14ac:dyDescent="0.25"/>
  <cols>
    <col min="1" max="1" width="3.7109375" style="29" bestFit="1" customWidth="1"/>
    <col min="2" max="3" width="30.7109375" customWidth="1"/>
    <col min="4" max="5" width="10.7109375" style="32" customWidth="1"/>
    <col min="6" max="6" width="39.28515625" customWidth="1"/>
    <col min="7" max="7" width="30.7109375" customWidth="1"/>
    <col min="8" max="8" width="10.7109375" hidden="1" customWidth="1"/>
    <col min="9" max="9" width="9.140625" hidden="1" customWidth="1"/>
    <col min="10" max="12" width="10.7109375" style="29" customWidth="1"/>
    <col min="13" max="13" width="1.7109375" customWidth="1"/>
    <col min="14" max="14" width="11.42578125" hidden="1" customWidth="1"/>
    <col min="15" max="16384" width="11.42578125" hidden="1"/>
  </cols>
  <sheetData>
    <row r="1" spans="1:12" s="33" customFormat="1" ht="39.950000000000003" customHeight="1" x14ac:dyDescent="0.25">
      <c r="A1" s="97" t="str">
        <f>Notenliste!B44&amp;Notenliste!B45</f>
        <v>course.namecourse.alternative</v>
      </c>
      <c r="B1" s="98"/>
      <c r="C1" s="98"/>
      <c r="D1" s="98"/>
      <c r="E1" s="98"/>
      <c r="F1" s="98"/>
      <c r="G1" s="98"/>
      <c r="H1" s="98"/>
      <c r="I1" s="98"/>
      <c r="J1" s="98"/>
      <c r="K1" s="98"/>
      <c r="L1" s="98"/>
    </row>
    <row r="2" spans="1:12" s="33" customFormat="1" ht="30" customHeight="1" x14ac:dyDescent="0.25">
      <c r="A2" s="99" t="str">
        <f>"Dozent/in: "&amp;Notenliste!B41</f>
        <v>Dozent/in: course.teacher_name</v>
      </c>
      <c r="B2" s="100"/>
      <c r="C2" s="100"/>
      <c r="D2" s="100"/>
      <c r="E2" s="100"/>
      <c r="F2" s="101" t="str">
        <f>"Semster: "&amp;Notenliste!B47</f>
        <v>Semster: semester</v>
      </c>
      <c r="G2" s="100"/>
      <c r="H2" s="100"/>
      <c r="I2" s="100"/>
      <c r="J2" s="100"/>
      <c r="K2" s="100"/>
      <c r="L2" s="100"/>
    </row>
    <row r="3" spans="1:12" s="34" customFormat="1" ht="60" customHeight="1" x14ac:dyDescent="0.25">
      <c r="A3" s="35" t="s">
        <v>0</v>
      </c>
      <c r="B3" s="36" t="s">
        <v>1</v>
      </c>
      <c r="C3" s="36" t="s">
        <v>2</v>
      </c>
      <c r="D3" s="35" t="s">
        <v>36</v>
      </c>
      <c r="E3" s="35" t="s">
        <v>37</v>
      </c>
      <c r="F3" s="36" t="s">
        <v>5</v>
      </c>
      <c r="G3" s="36" t="s">
        <v>6</v>
      </c>
      <c r="H3" s="35" t="s">
        <v>7</v>
      </c>
      <c r="I3" s="35" t="s">
        <v>8</v>
      </c>
      <c r="J3" s="37" t="s">
        <v>38</v>
      </c>
      <c r="K3" s="37" t="s">
        <v>14</v>
      </c>
      <c r="L3" s="37" t="s">
        <v>39</v>
      </c>
    </row>
    <row r="4" spans="1:12" s="33" customFormat="1" x14ac:dyDescent="0.25">
      <c r="A4" s="38">
        <v>1</v>
      </c>
      <c r="B4" s="39" t="str">
        <f>RAWDATA!B2</f>
        <v>applicant.last_name</v>
      </c>
      <c r="C4" s="39" t="str">
        <f>RAWDATA!C2</f>
        <v>applicant.first_name</v>
      </c>
      <c r="D4" s="40" t="str">
        <f>RAWDATA!D2</f>
        <v>applicant.origin.short_name</v>
      </c>
      <c r="E4" s="40" t="str">
        <f>RAWDATA!E2</f>
        <v>applicant.tag</v>
      </c>
      <c r="F4" s="39" t="str">
        <f>RAWDATA!I2</f>
        <v>applicant.mail</v>
      </c>
      <c r="G4" s="39" t="str">
        <f>RAWDATA!J2</f>
        <v>applicant.phone</v>
      </c>
      <c r="H4" s="40" t="str">
        <f>RAWDATA!N2</f>
        <v>Arabisch 1</v>
      </c>
      <c r="I4" s="40">
        <f>RAWDATA!O2</f>
        <v>0</v>
      </c>
      <c r="J4" s="38" t="e">
        <f>IF(OR(K4&lt;=4, K4="bestanden"),"X","")</f>
        <v>#N/A</v>
      </c>
      <c r="K4" s="38" t="e">
        <f>IF(AND(B4=0,E4=0),"",IF(Notenliste!T2="KP"," ",IF(OR(Notenliste!W2="x", Notenliste!W2="X"), "bestanden",Notenliste!T2)))</f>
        <v>#N/A</v>
      </c>
      <c r="L4" s="38" t="str">
        <f>IF(AND(B4=0,E4=0)," ",Notenliste!S2)</f>
        <v>attendance.sanitized_grade</v>
      </c>
    </row>
    <row r="5" spans="1:12" s="33" customFormat="1" x14ac:dyDescent="0.25">
      <c r="A5" s="38">
        <v>2</v>
      </c>
      <c r="B5" s="39">
        <f>RAWDATA!B3</f>
        <v>0</v>
      </c>
      <c r="C5" s="39">
        <f>RAWDATA!C3</f>
        <v>0</v>
      </c>
      <c r="D5" s="40">
        <f>RAWDATA!D3</f>
        <v>0</v>
      </c>
      <c r="E5" s="40">
        <f>RAWDATA!E3</f>
        <v>0</v>
      </c>
      <c r="F5" s="39">
        <f>RAWDATA!I3</f>
        <v>0</v>
      </c>
      <c r="G5" s="39">
        <f>RAWDATA!J3</f>
        <v>0</v>
      </c>
      <c r="H5" s="40" t="str">
        <f>RAWDATA!N3</f>
        <v>Arabisch 1</v>
      </c>
      <c r="I5" s="40">
        <f>RAWDATA!O3</f>
        <v>0</v>
      </c>
      <c r="J5" s="38" t="str">
        <f t="shared" ref="J5:J38" si="0">IF(OR(K5&lt;=4, K5="bestanden"),"X","")</f>
        <v/>
      </c>
      <c r="K5" s="38" t="str">
        <f>IF(AND(B5=0,E5=0),"",IF(Notenliste!T3="KP"," ",IF(OR(Notenliste!W3="x", Notenliste!W3="X"), "bestanden",Notenliste!T3)))</f>
        <v/>
      </c>
      <c r="L5" s="38" t="str">
        <f>IF(AND(B5=0,E5=0)," ",Notenliste!S3)</f>
        <v xml:space="preserve"> </v>
      </c>
    </row>
    <row r="6" spans="1:12" s="33" customFormat="1" x14ac:dyDescent="0.25">
      <c r="A6" s="38">
        <v>3</v>
      </c>
      <c r="B6" s="39">
        <f>RAWDATA!B4</f>
        <v>0</v>
      </c>
      <c r="C6" s="39">
        <f>RAWDATA!C4</f>
        <v>0</v>
      </c>
      <c r="D6" s="40">
        <f>RAWDATA!D4</f>
        <v>0</v>
      </c>
      <c r="E6" s="40">
        <f>RAWDATA!E4</f>
        <v>0</v>
      </c>
      <c r="F6" s="39">
        <f>RAWDATA!I4</f>
        <v>0</v>
      </c>
      <c r="G6" s="39">
        <f>RAWDATA!J4</f>
        <v>0</v>
      </c>
      <c r="H6" s="40" t="str">
        <f>RAWDATA!N4</f>
        <v>Arabisch 1</v>
      </c>
      <c r="I6" s="40">
        <f>RAWDATA!O4</f>
        <v>0</v>
      </c>
      <c r="J6" s="38" t="str">
        <f t="shared" si="0"/>
        <v/>
      </c>
      <c r="K6" s="38" t="str">
        <f>IF(AND(B6=0,E6=0),"",IF(Notenliste!T4="KP"," ",IF(OR(Notenliste!W4="x", Notenliste!W4="X"), "bestanden",Notenliste!T4)))</f>
        <v/>
      </c>
      <c r="L6" s="38" t="str">
        <f>IF(AND(B6=0,E6=0)," ",Notenliste!S4)</f>
        <v xml:space="preserve"> </v>
      </c>
    </row>
    <row r="7" spans="1:12" s="33" customFormat="1" x14ac:dyDescent="0.25">
      <c r="A7" s="38">
        <v>4</v>
      </c>
      <c r="B7" s="39">
        <f>RAWDATA!B5</f>
        <v>0</v>
      </c>
      <c r="C7" s="39">
        <f>RAWDATA!C5</f>
        <v>0</v>
      </c>
      <c r="D7" s="40">
        <f>RAWDATA!D5</f>
        <v>0</v>
      </c>
      <c r="E7" s="40">
        <f>RAWDATA!E5</f>
        <v>0</v>
      </c>
      <c r="F7" s="39">
        <f>RAWDATA!I5</f>
        <v>0</v>
      </c>
      <c r="G7" s="39">
        <f>RAWDATA!J5</f>
        <v>0</v>
      </c>
      <c r="H7" s="40" t="str">
        <f>RAWDATA!N5</f>
        <v>Arabisch 1</v>
      </c>
      <c r="I7" s="40">
        <f>RAWDATA!O5</f>
        <v>0</v>
      </c>
      <c r="J7" s="38" t="str">
        <f t="shared" si="0"/>
        <v/>
      </c>
      <c r="K7" s="38" t="str">
        <f>IF(AND(B7=0,E7=0),"",IF(Notenliste!T5="KP"," ",IF(OR(Notenliste!W5="x", Notenliste!W5="X"), "bestanden",Notenliste!T5)))</f>
        <v/>
      </c>
      <c r="L7" s="38" t="str">
        <f>IF(AND(B7=0,E7=0)," ",Notenliste!S5)</f>
        <v xml:space="preserve"> </v>
      </c>
    </row>
    <row r="8" spans="1:12" s="33" customFormat="1" x14ac:dyDescent="0.25">
      <c r="A8" s="38">
        <v>5</v>
      </c>
      <c r="B8" s="39">
        <f>RAWDATA!B6</f>
        <v>0</v>
      </c>
      <c r="C8" s="39">
        <f>RAWDATA!C6</f>
        <v>0</v>
      </c>
      <c r="D8" s="40">
        <f>RAWDATA!D6</f>
        <v>0</v>
      </c>
      <c r="E8" s="40">
        <f>RAWDATA!E6</f>
        <v>0</v>
      </c>
      <c r="F8" s="39">
        <f>RAWDATA!I6</f>
        <v>0</v>
      </c>
      <c r="G8" s="39">
        <f>RAWDATA!J6</f>
        <v>0</v>
      </c>
      <c r="H8" s="40" t="str">
        <f>RAWDATA!N6</f>
        <v>Arabisch 1</v>
      </c>
      <c r="I8" s="40">
        <f>RAWDATA!O6</f>
        <v>0</v>
      </c>
      <c r="J8" s="38" t="str">
        <f t="shared" si="0"/>
        <v/>
      </c>
      <c r="K8" s="38" t="str">
        <f>IF(AND(B8=0,E8=0),"",IF(Notenliste!T6="KP"," ",IF(OR(Notenliste!W6="x", Notenliste!W6="X"), "bestanden",Notenliste!T6)))</f>
        <v/>
      </c>
      <c r="L8" s="38" t="str">
        <f>IF(AND(B8=0,E8=0)," ",Notenliste!S6)</f>
        <v xml:space="preserve"> </v>
      </c>
    </row>
    <row r="9" spans="1:12" s="33" customFormat="1" x14ac:dyDescent="0.25">
      <c r="A9" s="38">
        <v>6</v>
      </c>
      <c r="B9" s="39">
        <f>RAWDATA!B7</f>
        <v>0</v>
      </c>
      <c r="C9" s="39">
        <f>RAWDATA!C7</f>
        <v>0</v>
      </c>
      <c r="D9" s="40">
        <f>RAWDATA!D7</f>
        <v>0</v>
      </c>
      <c r="E9" s="40">
        <f>RAWDATA!E7</f>
        <v>0</v>
      </c>
      <c r="F9" s="39">
        <f>RAWDATA!I7</f>
        <v>0</v>
      </c>
      <c r="G9" s="39">
        <f>RAWDATA!J7</f>
        <v>0</v>
      </c>
      <c r="H9" s="40" t="str">
        <f>RAWDATA!N7</f>
        <v>Arabisch 1</v>
      </c>
      <c r="I9" s="40">
        <f>RAWDATA!O7</f>
        <v>0</v>
      </c>
      <c r="J9" s="38" t="str">
        <f t="shared" si="0"/>
        <v/>
      </c>
      <c r="K9" s="38" t="str">
        <f>IF(AND(B9=0,E9=0),"",IF(Notenliste!T7="KP"," ",IF(OR(Notenliste!W7="x", Notenliste!W7="X"), "bestanden",Notenliste!T7)))</f>
        <v/>
      </c>
      <c r="L9" s="38" t="str">
        <f>IF(AND(B9=0,E9=0)," ",Notenliste!S7)</f>
        <v xml:space="preserve"> </v>
      </c>
    </row>
    <row r="10" spans="1:12" s="33" customFormat="1" x14ac:dyDescent="0.25">
      <c r="A10" s="38">
        <v>7</v>
      </c>
      <c r="B10" s="39">
        <f>RAWDATA!B8</f>
        <v>0</v>
      </c>
      <c r="C10" s="39">
        <f>RAWDATA!C8</f>
        <v>0</v>
      </c>
      <c r="D10" s="40">
        <f>RAWDATA!D8</f>
        <v>0</v>
      </c>
      <c r="E10" s="40">
        <f>RAWDATA!E8</f>
        <v>0</v>
      </c>
      <c r="F10" s="39">
        <f>RAWDATA!I8</f>
        <v>0</v>
      </c>
      <c r="G10" s="39">
        <f>RAWDATA!J8</f>
        <v>0</v>
      </c>
      <c r="H10" s="40" t="str">
        <f>RAWDATA!N8</f>
        <v>Arabisch 1</v>
      </c>
      <c r="I10" s="40">
        <f>RAWDATA!O8</f>
        <v>0</v>
      </c>
      <c r="J10" s="38" t="str">
        <f t="shared" si="0"/>
        <v/>
      </c>
      <c r="K10" s="38" t="str">
        <f>IF(AND(B10=0,E10=0),"",IF(Notenliste!T8="KP"," ",IF(OR(Notenliste!W8="x", Notenliste!W8="X"), "bestanden",Notenliste!T8)))</f>
        <v/>
      </c>
      <c r="L10" s="38" t="str">
        <f>IF(AND(B10=0,E10=0)," ",Notenliste!S8)</f>
        <v xml:space="preserve"> </v>
      </c>
    </row>
    <row r="11" spans="1:12" s="33" customFormat="1" x14ac:dyDescent="0.25">
      <c r="A11" s="38">
        <v>8</v>
      </c>
      <c r="B11" s="39">
        <f>RAWDATA!B9</f>
        <v>0</v>
      </c>
      <c r="C11" s="39">
        <f>RAWDATA!C9</f>
        <v>0</v>
      </c>
      <c r="D11" s="40">
        <f>RAWDATA!D9</f>
        <v>0</v>
      </c>
      <c r="E11" s="40">
        <f>RAWDATA!E9</f>
        <v>0</v>
      </c>
      <c r="F11" s="39">
        <f>RAWDATA!I9</f>
        <v>0</v>
      </c>
      <c r="G11" s="39">
        <f>RAWDATA!J9</f>
        <v>0</v>
      </c>
      <c r="H11" s="40" t="str">
        <f>RAWDATA!N9</f>
        <v>Arabisch 1</v>
      </c>
      <c r="I11" s="40">
        <f>RAWDATA!O9</f>
        <v>0</v>
      </c>
      <c r="J11" s="38" t="str">
        <f t="shared" si="0"/>
        <v/>
      </c>
      <c r="K11" s="38" t="str">
        <f>IF(AND(B11=0,E11=0),"",IF(Notenliste!T9="KP"," ",IF(OR(Notenliste!W9="x", Notenliste!W9="X"), "bestanden",Notenliste!T9)))</f>
        <v/>
      </c>
      <c r="L11" s="38" t="str">
        <f>IF(AND(B11=0,E11=0)," ",Notenliste!S9)</f>
        <v xml:space="preserve"> </v>
      </c>
    </row>
    <row r="12" spans="1:12" s="33" customFormat="1" x14ac:dyDescent="0.25">
      <c r="A12" s="38">
        <v>9</v>
      </c>
      <c r="B12" s="39">
        <f>RAWDATA!B10</f>
        <v>0</v>
      </c>
      <c r="C12" s="39">
        <f>RAWDATA!C10</f>
        <v>0</v>
      </c>
      <c r="D12" s="40">
        <f>RAWDATA!D10</f>
        <v>0</v>
      </c>
      <c r="E12" s="40">
        <f>RAWDATA!E10</f>
        <v>0</v>
      </c>
      <c r="F12" s="39">
        <f>RAWDATA!I10</f>
        <v>0</v>
      </c>
      <c r="G12" s="39">
        <f>RAWDATA!J10</f>
        <v>0</v>
      </c>
      <c r="H12" s="40" t="str">
        <f>RAWDATA!N10</f>
        <v>Arabisch 1</v>
      </c>
      <c r="I12" s="40">
        <f>RAWDATA!O10</f>
        <v>0</v>
      </c>
      <c r="J12" s="38" t="str">
        <f t="shared" si="0"/>
        <v/>
      </c>
      <c r="K12" s="38" t="str">
        <f>IF(AND(B12=0,E12=0),"",IF(Notenliste!T10="KP"," ",IF(OR(Notenliste!W10="x", Notenliste!W10="X"), "bestanden",Notenliste!T10)))</f>
        <v/>
      </c>
      <c r="L12" s="38" t="str">
        <f>IF(AND(B12=0,E12=0)," ",Notenliste!S10)</f>
        <v xml:space="preserve"> </v>
      </c>
    </row>
    <row r="13" spans="1:12" s="33" customFormat="1" x14ac:dyDescent="0.25">
      <c r="A13" s="38">
        <v>10</v>
      </c>
      <c r="B13" s="39">
        <f>RAWDATA!B11</f>
        <v>0</v>
      </c>
      <c r="C13" s="39">
        <f>RAWDATA!C11</f>
        <v>0</v>
      </c>
      <c r="D13" s="40">
        <f>RAWDATA!D11</f>
        <v>0</v>
      </c>
      <c r="E13" s="40">
        <f>RAWDATA!E11</f>
        <v>0</v>
      </c>
      <c r="F13" s="39">
        <f>RAWDATA!I11</f>
        <v>0</v>
      </c>
      <c r="G13" s="39">
        <f>RAWDATA!J11</f>
        <v>0</v>
      </c>
      <c r="H13" s="40" t="str">
        <f>RAWDATA!N11</f>
        <v>Arabisch 1</v>
      </c>
      <c r="I13" s="40">
        <f>RAWDATA!O11</f>
        <v>0</v>
      </c>
      <c r="J13" s="38" t="str">
        <f t="shared" si="0"/>
        <v/>
      </c>
      <c r="K13" s="38" t="str">
        <f>IF(AND(B13=0,E13=0),"",IF(Notenliste!T11="KP"," ",IF(OR(Notenliste!W11="x", Notenliste!W11="X"), "bestanden",Notenliste!T11)))</f>
        <v/>
      </c>
      <c r="L13" s="38" t="str">
        <f>IF(AND(B13=0,E13=0)," ",Notenliste!S11)</f>
        <v xml:space="preserve"> </v>
      </c>
    </row>
    <row r="14" spans="1:12" s="33" customFormat="1" x14ac:dyDescent="0.25">
      <c r="A14" s="38">
        <v>11</v>
      </c>
      <c r="B14" s="39">
        <f>RAWDATA!B12</f>
        <v>0</v>
      </c>
      <c r="C14" s="39">
        <f>RAWDATA!C12</f>
        <v>0</v>
      </c>
      <c r="D14" s="40">
        <f>RAWDATA!D12</f>
        <v>0</v>
      </c>
      <c r="E14" s="40">
        <f>RAWDATA!E12</f>
        <v>0</v>
      </c>
      <c r="F14" s="39">
        <f>RAWDATA!I12</f>
        <v>0</v>
      </c>
      <c r="G14" s="39">
        <f>RAWDATA!J12</f>
        <v>0</v>
      </c>
      <c r="H14" s="40" t="str">
        <f>RAWDATA!N12</f>
        <v>Arabisch 1</v>
      </c>
      <c r="I14" s="40">
        <f>RAWDATA!O12</f>
        <v>0</v>
      </c>
      <c r="J14" s="38" t="str">
        <f t="shared" si="0"/>
        <v/>
      </c>
      <c r="K14" s="38" t="str">
        <f>IF(AND(B14=0,E14=0),"",IF(Notenliste!T12="KP"," ",IF(OR(Notenliste!W12="x", Notenliste!W12="X"), "bestanden",Notenliste!T12)))</f>
        <v/>
      </c>
      <c r="L14" s="38" t="str">
        <f>IF(AND(B14=0,E14=0)," ",Notenliste!S12)</f>
        <v xml:space="preserve"> </v>
      </c>
    </row>
    <row r="15" spans="1:12" s="33" customFormat="1" x14ac:dyDescent="0.25">
      <c r="A15" s="38">
        <v>12</v>
      </c>
      <c r="B15" s="39">
        <f>RAWDATA!B13</f>
        <v>0</v>
      </c>
      <c r="C15" s="39">
        <f>RAWDATA!C13</f>
        <v>0</v>
      </c>
      <c r="D15" s="40">
        <f>RAWDATA!D13</f>
        <v>0</v>
      </c>
      <c r="E15" s="40">
        <f>RAWDATA!E13</f>
        <v>0</v>
      </c>
      <c r="F15" s="39">
        <f>RAWDATA!I13</f>
        <v>0</v>
      </c>
      <c r="G15" s="39">
        <f>RAWDATA!J13</f>
        <v>0</v>
      </c>
      <c r="H15" s="40" t="str">
        <f>RAWDATA!N13</f>
        <v>Arabisch 1</v>
      </c>
      <c r="I15" s="40">
        <f>RAWDATA!O13</f>
        <v>0</v>
      </c>
      <c r="J15" s="38" t="str">
        <f t="shared" si="0"/>
        <v/>
      </c>
      <c r="K15" s="38" t="str">
        <f>IF(AND(B15=0,E15=0),"",IF(Notenliste!T13="KP"," ",IF(OR(Notenliste!W13="x", Notenliste!W13="X"), "bestanden",Notenliste!T13)))</f>
        <v/>
      </c>
      <c r="L15" s="38" t="str">
        <f>IF(AND(B15=0,E15=0)," ",Notenliste!S13)</f>
        <v xml:space="preserve"> </v>
      </c>
    </row>
    <row r="16" spans="1:12" s="33" customFormat="1" x14ac:dyDescent="0.25">
      <c r="A16" s="38">
        <v>13</v>
      </c>
      <c r="B16" s="39">
        <f>RAWDATA!B14</f>
        <v>0</v>
      </c>
      <c r="C16" s="39">
        <f>RAWDATA!C14</f>
        <v>0</v>
      </c>
      <c r="D16" s="40">
        <f>RAWDATA!D14</f>
        <v>0</v>
      </c>
      <c r="E16" s="40">
        <f>RAWDATA!E14</f>
        <v>0</v>
      </c>
      <c r="F16" s="39">
        <f>RAWDATA!I14</f>
        <v>0</v>
      </c>
      <c r="G16" s="39">
        <f>RAWDATA!J14</f>
        <v>0</v>
      </c>
      <c r="H16" s="40" t="str">
        <f>RAWDATA!N14</f>
        <v>Arabisch 1</v>
      </c>
      <c r="I16" s="40">
        <f>RAWDATA!O14</f>
        <v>0</v>
      </c>
      <c r="J16" s="38" t="str">
        <f t="shared" si="0"/>
        <v/>
      </c>
      <c r="K16" s="38" t="str">
        <f>IF(AND(B16=0,E16=0),"",IF(Notenliste!T14="KP"," ",IF(OR(Notenliste!W14="x", Notenliste!W14="X"), "bestanden",Notenliste!T14)))</f>
        <v/>
      </c>
      <c r="L16" s="38" t="str">
        <f>IF(AND(B16=0,E16=0)," ",Notenliste!S14)</f>
        <v xml:space="preserve"> </v>
      </c>
    </row>
    <row r="17" spans="1:12" s="33" customFormat="1" x14ac:dyDescent="0.25">
      <c r="A17" s="38">
        <v>14</v>
      </c>
      <c r="B17" s="39">
        <f>RAWDATA!B15</f>
        <v>0</v>
      </c>
      <c r="C17" s="39">
        <f>RAWDATA!C15</f>
        <v>0</v>
      </c>
      <c r="D17" s="40">
        <f>RAWDATA!D15</f>
        <v>0</v>
      </c>
      <c r="E17" s="40">
        <f>RAWDATA!E15</f>
        <v>0</v>
      </c>
      <c r="F17" s="39">
        <f>RAWDATA!I15</f>
        <v>0</v>
      </c>
      <c r="G17" s="39">
        <f>RAWDATA!J15</f>
        <v>0</v>
      </c>
      <c r="H17" s="40" t="str">
        <f>RAWDATA!N15</f>
        <v>Arabisch 1</v>
      </c>
      <c r="I17" s="40">
        <f>RAWDATA!O15</f>
        <v>0</v>
      </c>
      <c r="J17" s="38" t="str">
        <f t="shared" si="0"/>
        <v/>
      </c>
      <c r="K17" s="38" t="str">
        <f>IF(AND(B17=0,E17=0),"",IF(Notenliste!T15="KP"," ",IF(OR(Notenliste!W15="x", Notenliste!W15="X"), "bestanden",Notenliste!T15)))</f>
        <v/>
      </c>
      <c r="L17" s="38" t="str">
        <f>IF(AND(B17=0,E17=0)," ",Notenliste!S15)</f>
        <v xml:space="preserve"> </v>
      </c>
    </row>
    <row r="18" spans="1:12" s="33" customFormat="1" x14ac:dyDescent="0.25">
      <c r="A18" s="38">
        <v>15</v>
      </c>
      <c r="B18" s="39">
        <f>RAWDATA!B16</f>
        <v>0</v>
      </c>
      <c r="C18" s="39">
        <f>RAWDATA!C16</f>
        <v>0</v>
      </c>
      <c r="D18" s="40">
        <f>RAWDATA!D16</f>
        <v>0</v>
      </c>
      <c r="E18" s="40">
        <f>RAWDATA!E16</f>
        <v>0</v>
      </c>
      <c r="F18" s="39">
        <f>RAWDATA!I16</f>
        <v>0</v>
      </c>
      <c r="G18" s="39">
        <f>RAWDATA!J16</f>
        <v>0</v>
      </c>
      <c r="H18" s="40" t="str">
        <f>RAWDATA!N16</f>
        <v>Arabisch 1</v>
      </c>
      <c r="I18" s="40">
        <f>RAWDATA!O16</f>
        <v>0</v>
      </c>
      <c r="J18" s="38" t="str">
        <f t="shared" si="0"/>
        <v/>
      </c>
      <c r="K18" s="38" t="str">
        <f>IF(AND(B18=0,E18=0),"",IF(Notenliste!T16="KP"," ",IF(OR(Notenliste!W16="x", Notenliste!W16="X"), "bestanden",Notenliste!T16)))</f>
        <v/>
      </c>
      <c r="L18" s="38" t="str">
        <f>IF(AND(B18=0,E18=0)," ",Notenliste!S16)</f>
        <v xml:space="preserve"> </v>
      </c>
    </row>
    <row r="19" spans="1:12" s="33" customFormat="1" x14ac:dyDescent="0.25">
      <c r="A19" s="38">
        <v>16</v>
      </c>
      <c r="B19" s="39">
        <f>RAWDATA!B17</f>
        <v>0</v>
      </c>
      <c r="C19" s="39">
        <f>RAWDATA!C17</f>
        <v>0</v>
      </c>
      <c r="D19" s="40">
        <f>RAWDATA!D17</f>
        <v>0</v>
      </c>
      <c r="E19" s="40">
        <f>RAWDATA!E17</f>
        <v>0</v>
      </c>
      <c r="F19" s="39">
        <f>RAWDATA!I17</f>
        <v>0</v>
      </c>
      <c r="G19" s="39">
        <f>RAWDATA!J17</f>
        <v>0</v>
      </c>
      <c r="H19" s="40" t="str">
        <f>RAWDATA!N17</f>
        <v>Arabisch 1</v>
      </c>
      <c r="I19" s="40">
        <f>RAWDATA!O17</f>
        <v>0</v>
      </c>
      <c r="J19" s="38" t="str">
        <f t="shared" si="0"/>
        <v/>
      </c>
      <c r="K19" s="38" t="str">
        <f>IF(AND(B19=0,E19=0),"",IF(Notenliste!T17="KP"," ",IF(OR(Notenliste!W17="x", Notenliste!W17="X"), "bestanden",Notenliste!T17)))</f>
        <v/>
      </c>
      <c r="L19" s="38" t="str">
        <f>IF(AND(B19=0,E19=0)," ",Notenliste!S17)</f>
        <v xml:space="preserve"> </v>
      </c>
    </row>
    <row r="20" spans="1:12" s="33" customFormat="1" x14ac:dyDescent="0.25">
      <c r="A20" s="38">
        <v>17</v>
      </c>
      <c r="B20" s="39">
        <f>RAWDATA!B18</f>
        <v>0</v>
      </c>
      <c r="C20" s="39">
        <f>RAWDATA!C18</f>
        <v>0</v>
      </c>
      <c r="D20" s="40">
        <f>RAWDATA!D18</f>
        <v>0</v>
      </c>
      <c r="E20" s="40">
        <f>RAWDATA!E18</f>
        <v>0</v>
      </c>
      <c r="F20" s="39">
        <f>RAWDATA!I18</f>
        <v>0</v>
      </c>
      <c r="G20" s="39">
        <f>RAWDATA!J18</f>
        <v>0</v>
      </c>
      <c r="H20" s="40" t="str">
        <f>RAWDATA!N18</f>
        <v>Arabisch 1</v>
      </c>
      <c r="I20" s="40">
        <f>RAWDATA!O18</f>
        <v>0</v>
      </c>
      <c r="J20" s="38" t="str">
        <f t="shared" si="0"/>
        <v/>
      </c>
      <c r="K20" s="38" t="str">
        <f>IF(AND(B20=0,E20=0),"",IF(Notenliste!T18="KP"," ",IF(OR(Notenliste!W18="x", Notenliste!W18="X"), "bestanden",Notenliste!T18)))</f>
        <v/>
      </c>
      <c r="L20" s="38" t="str">
        <f>IF(AND(B20=0,E20=0)," ",Notenliste!S18)</f>
        <v xml:space="preserve"> </v>
      </c>
    </row>
    <row r="21" spans="1:12" s="33" customFormat="1" x14ac:dyDescent="0.25">
      <c r="A21" s="38">
        <v>18</v>
      </c>
      <c r="B21" s="39">
        <f>RAWDATA!B19</f>
        <v>0</v>
      </c>
      <c r="C21" s="39">
        <f>RAWDATA!C19</f>
        <v>0</v>
      </c>
      <c r="D21" s="40">
        <f>RAWDATA!D19</f>
        <v>0</v>
      </c>
      <c r="E21" s="40">
        <f>RAWDATA!E19</f>
        <v>0</v>
      </c>
      <c r="F21" s="39">
        <f>RAWDATA!I19</f>
        <v>0</v>
      </c>
      <c r="G21" s="39">
        <f>RAWDATA!J19</f>
        <v>0</v>
      </c>
      <c r="H21" s="40" t="str">
        <f>RAWDATA!N19</f>
        <v>Arabisch 1</v>
      </c>
      <c r="I21" s="40">
        <f>RAWDATA!O19</f>
        <v>0</v>
      </c>
      <c r="J21" s="38" t="str">
        <f t="shared" si="0"/>
        <v/>
      </c>
      <c r="K21" s="38" t="str">
        <f>IF(AND(B21=0,E21=0),"",IF(Notenliste!T19="KP"," ",IF(OR(Notenliste!W19="x", Notenliste!W19="X"), "bestanden",Notenliste!T19)))</f>
        <v/>
      </c>
      <c r="L21" s="38" t="str">
        <f>IF(AND(B21=0,E21=0)," ",Notenliste!S19)</f>
        <v xml:space="preserve"> </v>
      </c>
    </row>
    <row r="22" spans="1:12" s="33" customFormat="1" x14ac:dyDescent="0.25">
      <c r="A22" s="38">
        <v>19</v>
      </c>
      <c r="B22" s="39">
        <f>RAWDATA!B20</f>
        <v>0</v>
      </c>
      <c r="C22" s="39">
        <f>RAWDATA!C20</f>
        <v>0</v>
      </c>
      <c r="D22" s="40">
        <f>RAWDATA!D20</f>
        <v>0</v>
      </c>
      <c r="E22" s="40">
        <f>RAWDATA!E20</f>
        <v>0</v>
      </c>
      <c r="F22" s="39">
        <f>RAWDATA!I20</f>
        <v>0</v>
      </c>
      <c r="G22" s="39">
        <f>RAWDATA!J20</f>
        <v>0</v>
      </c>
      <c r="H22" s="40" t="str">
        <f>RAWDATA!N20</f>
        <v>Arabisch 1</v>
      </c>
      <c r="I22" s="40">
        <f>RAWDATA!O20</f>
        <v>0</v>
      </c>
      <c r="J22" s="38" t="str">
        <f t="shared" si="0"/>
        <v/>
      </c>
      <c r="K22" s="38" t="str">
        <f>IF(AND(B22=0,E22=0),"",IF(Notenliste!T20="KP"," ",IF(OR(Notenliste!W20="x", Notenliste!W20="X"), "bestanden",Notenliste!T20)))</f>
        <v/>
      </c>
      <c r="L22" s="38" t="str">
        <f>IF(AND(B22=0,E22=0)," ",Notenliste!S20)</f>
        <v xml:space="preserve"> </v>
      </c>
    </row>
    <row r="23" spans="1:12" s="33" customFormat="1" x14ac:dyDescent="0.25">
      <c r="A23" s="38">
        <v>20</v>
      </c>
      <c r="B23" s="39">
        <f>RAWDATA!B21</f>
        <v>0</v>
      </c>
      <c r="C23" s="39">
        <f>RAWDATA!C21</f>
        <v>0</v>
      </c>
      <c r="D23" s="40">
        <f>RAWDATA!D21</f>
        <v>0</v>
      </c>
      <c r="E23" s="40">
        <f>RAWDATA!E21</f>
        <v>0</v>
      </c>
      <c r="F23" s="39">
        <f>RAWDATA!I21</f>
        <v>0</v>
      </c>
      <c r="G23" s="39">
        <f>RAWDATA!J21</f>
        <v>0</v>
      </c>
      <c r="H23" s="40" t="str">
        <f>RAWDATA!N21</f>
        <v>Arabisch 1</v>
      </c>
      <c r="I23" s="40">
        <f>RAWDATA!O21</f>
        <v>0</v>
      </c>
      <c r="J23" s="38" t="str">
        <f t="shared" si="0"/>
        <v/>
      </c>
      <c r="K23" s="38" t="str">
        <f>IF(AND(B23=0,E23=0),"",IF(Notenliste!T21="KP"," ",IF(OR(Notenliste!W21="x", Notenliste!W21="X"), "bestanden",Notenliste!T21)))</f>
        <v/>
      </c>
      <c r="L23" s="38" t="str">
        <f>IF(AND(B23=0,E23=0)," ",Notenliste!S21)</f>
        <v xml:space="preserve"> </v>
      </c>
    </row>
    <row r="24" spans="1:12" s="33" customFormat="1" x14ac:dyDescent="0.25">
      <c r="A24" s="38">
        <v>21</v>
      </c>
      <c r="B24" s="39">
        <f>RAWDATA!B22</f>
        <v>0</v>
      </c>
      <c r="C24" s="39">
        <f>RAWDATA!C22</f>
        <v>0</v>
      </c>
      <c r="D24" s="40">
        <f>RAWDATA!D22</f>
        <v>0</v>
      </c>
      <c r="E24" s="40">
        <f>RAWDATA!E22</f>
        <v>0</v>
      </c>
      <c r="F24" s="39">
        <f>RAWDATA!I22</f>
        <v>0</v>
      </c>
      <c r="G24" s="39">
        <f>RAWDATA!J22</f>
        <v>0</v>
      </c>
      <c r="H24" s="40" t="str">
        <f>RAWDATA!N22</f>
        <v>Arabisch 1</v>
      </c>
      <c r="I24" s="40">
        <f>RAWDATA!O22</f>
        <v>0</v>
      </c>
      <c r="J24" s="38" t="str">
        <f t="shared" si="0"/>
        <v/>
      </c>
      <c r="K24" s="38" t="str">
        <f>IF(AND(B24=0,E24=0),"",IF(Notenliste!T22="KP"," ",IF(OR(Notenliste!W22="x", Notenliste!W22="X"), "bestanden",Notenliste!T22)))</f>
        <v/>
      </c>
      <c r="L24" s="38" t="str">
        <f>IF(AND(B24=0,E24=0)," ",Notenliste!S22)</f>
        <v xml:space="preserve"> </v>
      </c>
    </row>
    <row r="25" spans="1:12" s="33" customFormat="1" x14ac:dyDescent="0.25">
      <c r="A25" s="38">
        <v>22</v>
      </c>
      <c r="B25" s="39">
        <f>RAWDATA!B23</f>
        <v>0</v>
      </c>
      <c r="C25" s="39">
        <f>RAWDATA!C23</f>
        <v>0</v>
      </c>
      <c r="D25" s="40">
        <f>RAWDATA!D23</f>
        <v>0</v>
      </c>
      <c r="E25" s="40">
        <f>RAWDATA!E23</f>
        <v>0</v>
      </c>
      <c r="F25" s="39">
        <f>RAWDATA!I23</f>
        <v>0</v>
      </c>
      <c r="G25" s="39">
        <f>RAWDATA!J23</f>
        <v>0</v>
      </c>
      <c r="H25" s="40" t="str">
        <f>RAWDATA!N23</f>
        <v>Arabisch 1</v>
      </c>
      <c r="I25" s="40">
        <f>RAWDATA!O23</f>
        <v>0</v>
      </c>
      <c r="J25" s="38" t="str">
        <f t="shared" si="0"/>
        <v/>
      </c>
      <c r="K25" s="38" t="str">
        <f>IF(AND(B25=0,E25=0),"",IF(Notenliste!T23="KP"," ",IF(OR(Notenliste!W23="x", Notenliste!W23="X"), "bestanden",Notenliste!T23)))</f>
        <v/>
      </c>
      <c r="L25" s="38" t="str">
        <f>IF(AND(B25=0,E25=0)," ",Notenliste!S23)</f>
        <v xml:space="preserve"> </v>
      </c>
    </row>
    <row r="26" spans="1:12" s="33" customFormat="1" x14ac:dyDescent="0.25">
      <c r="A26" s="38">
        <v>23</v>
      </c>
      <c r="B26" s="39">
        <f>RAWDATA!B24</f>
        <v>0</v>
      </c>
      <c r="C26" s="39">
        <f>RAWDATA!C24</f>
        <v>0</v>
      </c>
      <c r="D26" s="40">
        <f>RAWDATA!D24</f>
        <v>0</v>
      </c>
      <c r="E26" s="40">
        <f>RAWDATA!E24</f>
        <v>0</v>
      </c>
      <c r="F26" s="39">
        <f>RAWDATA!I24</f>
        <v>0</v>
      </c>
      <c r="G26" s="39">
        <f>RAWDATA!J24</f>
        <v>0</v>
      </c>
      <c r="H26" s="40" t="str">
        <f>RAWDATA!N24</f>
        <v>Arabisch 1</v>
      </c>
      <c r="I26" s="40">
        <f>RAWDATA!O24</f>
        <v>0</v>
      </c>
      <c r="J26" s="38" t="str">
        <f t="shared" si="0"/>
        <v/>
      </c>
      <c r="K26" s="38" t="str">
        <f>IF(AND(B26=0,E26=0),"",IF(Notenliste!T24="KP"," ",IF(OR(Notenliste!W24="x", Notenliste!W24="X"), "bestanden",Notenliste!T24)))</f>
        <v/>
      </c>
      <c r="L26" s="38" t="str">
        <f>IF(AND(B26=0,E26=0)," ",Notenliste!S24)</f>
        <v xml:space="preserve"> </v>
      </c>
    </row>
    <row r="27" spans="1:12" s="33" customFormat="1" x14ac:dyDescent="0.25">
      <c r="A27" s="38">
        <v>24</v>
      </c>
      <c r="B27" s="39">
        <f>RAWDATA!B25</f>
        <v>0</v>
      </c>
      <c r="C27" s="39">
        <f>RAWDATA!C25</f>
        <v>0</v>
      </c>
      <c r="D27" s="40">
        <f>RAWDATA!D25</f>
        <v>0</v>
      </c>
      <c r="E27" s="40">
        <f>RAWDATA!E25</f>
        <v>0</v>
      </c>
      <c r="F27" s="39">
        <f>RAWDATA!I25</f>
        <v>0</v>
      </c>
      <c r="G27" s="39">
        <f>RAWDATA!J25</f>
        <v>0</v>
      </c>
      <c r="H27" s="40">
        <f>RAWDATA!N25</f>
        <v>0</v>
      </c>
      <c r="I27" s="40">
        <f>RAWDATA!O25</f>
        <v>0</v>
      </c>
      <c r="J27" s="38" t="str">
        <f t="shared" si="0"/>
        <v/>
      </c>
      <c r="K27" s="38" t="str">
        <f>IF(AND(B27=0,E27=0),"",IF(Notenliste!T25="KP"," ",IF(OR(Notenliste!W25="x", Notenliste!W25="X"), "bestanden",Notenliste!T25)))</f>
        <v/>
      </c>
      <c r="L27" s="38" t="str">
        <f>IF(AND(B27=0,E27=0)," ",Notenliste!S25)</f>
        <v xml:space="preserve"> </v>
      </c>
    </row>
    <row r="28" spans="1:12" s="33" customFormat="1" x14ac:dyDescent="0.25">
      <c r="A28" s="38">
        <v>25</v>
      </c>
      <c r="B28" s="39">
        <f>RAWDATA!B26</f>
        <v>0</v>
      </c>
      <c r="C28" s="39">
        <f>RAWDATA!C26</f>
        <v>0</v>
      </c>
      <c r="D28" s="40">
        <f>RAWDATA!D26</f>
        <v>0</v>
      </c>
      <c r="E28" s="40">
        <f>RAWDATA!E26</f>
        <v>0</v>
      </c>
      <c r="F28" s="39">
        <f>RAWDATA!I26</f>
        <v>0</v>
      </c>
      <c r="G28" s="39">
        <f>RAWDATA!J26</f>
        <v>0</v>
      </c>
      <c r="H28" s="40">
        <f>RAWDATA!N26</f>
        <v>0</v>
      </c>
      <c r="I28" s="40">
        <f>RAWDATA!O26</f>
        <v>0</v>
      </c>
      <c r="J28" s="38" t="str">
        <f t="shared" si="0"/>
        <v/>
      </c>
      <c r="K28" s="38" t="str">
        <f>IF(AND(B28=0,E28=0),"",IF(Notenliste!T26="KP"," ",IF(OR(Notenliste!W26="x", Notenliste!W26="X"), "bestanden",Notenliste!T26)))</f>
        <v/>
      </c>
      <c r="L28" s="38" t="str">
        <f>IF(AND(B28=0,E28=0)," ",Notenliste!S26)</f>
        <v xml:space="preserve"> </v>
      </c>
    </row>
    <row r="29" spans="1:12" s="33" customFormat="1" x14ac:dyDescent="0.25">
      <c r="A29" s="38">
        <v>26</v>
      </c>
      <c r="B29" s="39">
        <f>RAWDATA!B27</f>
        <v>0</v>
      </c>
      <c r="C29" s="39">
        <f>RAWDATA!C27</f>
        <v>0</v>
      </c>
      <c r="D29" s="40">
        <f>RAWDATA!D27</f>
        <v>0</v>
      </c>
      <c r="E29" s="40">
        <f>RAWDATA!E27</f>
        <v>0</v>
      </c>
      <c r="F29" s="39">
        <f>RAWDATA!I27</f>
        <v>0</v>
      </c>
      <c r="G29" s="39">
        <f>RAWDATA!J27</f>
        <v>0</v>
      </c>
      <c r="H29" s="40">
        <f>RAWDATA!N27</f>
        <v>0</v>
      </c>
      <c r="I29" s="40">
        <f>RAWDATA!O27</f>
        <v>0</v>
      </c>
      <c r="J29" s="38" t="str">
        <f t="shared" si="0"/>
        <v/>
      </c>
      <c r="K29" s="38" t="str">
        <f>IF(AND(B29=0,E29=0),"",IF(Notenliste!T27="KP"," ",IF(OR(Notenliste!W27="x", Notenliste!W27="X"), "bestanden",Notenliste!T27)))</f>
        <v/>
      </c>
      <c r="L29" s="38" t="str">
        <f>IF(AND(B29=0,E29=0)," ",Notenliste!S27)</f>
        <v xml:space="preserve"> </v>
      </c>
    </row>
    <row r="30" spans="1:12" s="33" customFormat="1" x14ac:dyDescent="0.25">
      <c r="A30" s="38">
        <v>27</v>
      </c>
      <c r="B30" s="39">
        <f>RAWDATA!B28</f>
        <v>0</v>
      </c>
      <c r="C30" s="39">
        <f>RAWDATA!C28</f>
        <v>0</v>
      </c>
      <c r="D30" s="40">
        <f>RAWDATA!D28</f>
        <v>0</v>
      </c>
      <c r="E30" s="40">
        <f>RAWDATA!E28</f>
        <v>0</v>
      </c>
      <c r="F30" s="39">
        <f>RAWDATA!I28</f>
        <v>0</v>
      </c>
      <c r="G30" s="39">
        <f>RAWDATA!J28</f>
        <v>0</v>
      </c>
      <c r="H30" s="40">
        <f>RAWDATA!N28</f>
        <v>0</v>
      </c>
      <c r="I30" s="40">
        <f>RAWDATA!O28</f>
        <v>0</v>
      </c>
      <c r="J30" s="38" t="str">
        <f t="shared" si="0"/>
        <v/>
      </c>
      <c r="K30" s="38" t="str">
        <f>IF(AND(B30=0,E30=0),"",IF(Notenliste!T28="KP"," ",IF(OR(Notenliste!W28="x", Notenliste!W28="X"), "bestanden",Notenliste!T28)))</f>
        <v/>
      </c>
      <c r="L30" s="38" t="str">
        <f>IF(AND(B30=0,E30=0)," ",Notenliste!S28)</f>
        <v xml:space="preserve"> </v>
      </c>
    </row>
    <row r="31" spans="1:12" s="33" customFormat="1" x14ac:dyDescent="0.25">
      <c r="A31" s="38">
        <v>28</v>
      </c>
      <c r="B31" s="39">
        <f>RAWDATA!B29</f>
        <v>0</v>
      </c>
      <c r="C31" s="39">
        <f>RAWDATA!C29</f>
        <v>0</v>
      </c>
      <c r="D31" s="40">
        <f>RAWDATA!D29</f>
        <v>0</v>
      </c>
      <c r="E31" s="40">
        <f>RAWDATA!E29</f>
        <v>0</v>
      </c>
      <c r="F31" s="39">
        <f>RAWDATA!I29</f>
        <v>0</v>
      </c>
      <c r="G31" s="39">
        <f>RAWDATA!J29</f>
        <v>0</v>
      </c>
      <c r="H31" s="40">
        <f>RAWDATA!N29</f>
        <v>0</v>
      </c>
      <c r="I31" s="40">
        <f>RAWDATA!O29</f>
        <v>0</v>
      </c>
      <c r="J31" s="38" t="str">
        <f t="shared" si="0"/>
        <v/>
      </c>
      <c r="K31" s="38" t="str">
        <f>IF(AND(B31=0,E31=0),"",IF(Notenliste!T29="KP"," ",IF(OR(Notenliste!W29="x", Notenliste!W29="X"), "bestanden",Notenliste!T29)))</f>
        <v/>
      </c>
      <c r="L31" s="38" t="str">
        <f>IF(AND(B31=0,E31=0)," ",Notenliste!S29)</f>
        <v xml:space="preserve"> </v>
      </c>
    </row>
    <row r="32" spans="1:12" s="33" customFormat="1" x14ac:dyDescent="0.25">
      <c r="A32" s="38">
        <v>29</v>
      </c>
      <c r="B32" s="39">
        <f>RAWDATA!B30</f>
        <v>0</v>
      </c>
      <c r="C32" s="39">
        <f>RAWDATA!C30</f>
        <v>0</v>
      </c>
      <c r="D32" s="40">
        <f>RAWDATA!D30</f>
        <v>0</v>
      </c>
      <c r="E32" s="40">
        <f>RAWDATA!E30</f>
        <v>0</v>
      </c>
      <c r="F32" s="39">
        <f>RAWDATA!I30</f>
        <v>0</v>
      </c>
      <c r="G32" s="39">
        <f>RAWDATA!J30</f>
        <v>0</v>
      </c>
      <c r="H32" s="40">
        <f>RAWDATA!N30</f>
        <v>0</v>
      </c>
      <c r="I32" s="40">
        <f>RAWDATA!O30</f>
        <v>0</v>
      </c>
      <c r="J32" s="38" t="str">
        <f t="shared" si="0"/>
        <v/>
      </c>
      <c r="K32" s="38" t="str">
        <f>IF(AND(B32=0,E32=0),"",IF(Notenliste!T30="KP"," ",IF(OR(Notenliste!W30="x", Notenliste!W30="X"), "bestanden",Notenliste!T30)))</f>
        <v/>
      </c>
      <c r="L32" s="38" t="str">
        <f>IF(AND(B32=0,E32=0)," ",Notenliste!S30)</f>
        <v xml:space="preserve"> </v>
      </c>
    </row>
    <row r="33" spans="1:13" s="33" customFormat="1" x14ac:dyDescent="0.25">
      <c r="A33" s="38">
        <v>30</v>
      </c>
      <c r="B33" s="39">
        <f>RAWDATA!B31</f>
        <v>0</v>
      </c>
      <c r="C33" s="39">
        <f>RAWDATA!C31</f>
        <v>0</v>
      </c>
      <c r="D33" s="40">
        <f>RAWDATA!D31</f>
        <v>0</v>
      </c>
      <c r="E33" s="40">
        <f>RAWDATA!E31</f>
        <v>0</v>
      </c>
      <c r="F33" s="39">
        <f>RAWDATA!I31</f>
        <v>0</v>
      </c>
      <c r="G33" s="39">
        <f>RAWDATA!J31</f>
        <v>0</v>
      </c>
      <c r="H33" s="40">
        <f>RAWDATA!N31</f>
        <v>0</v>
      </c>
      <c r="I33" s="40">
        <f>RAWDATA!O31</f>
        <v>0</v>
      </c>
      <c r="J33" s="38" t="str">
        <f t="shared" si="0"/>
        <v/>
      </c>
      <c r="K33" s="38" t="str">
        <f>IF(AND(B33=0,E33=0),"",IF(Notenliste!T31="KP"," ",IF(OR(Notenliste!W31="x", Notenliste!W31="X"), "bestanden",Notenliste!T31)))</f>
        <v/>
      </c>
      <c r="L33" s="38" t="str">
        <f>IF(AND(B33=0,E33=0)," ",Notenliste!S31)</f>
        <v xml:space="preserve"> </v>
      </c>
    </row>
    <row r="34" spans="1:13" s="33" customFormat="1" x14ac:dyDescent="0.25">
      <c r="A34" s="38">
        <v>31</v>
      </c>
      <c r="B34" s="39">
        <f>RAWDATA!B32</f>
        <v>0</v>
      </c>
      <c r="C34" s="39">
        <f>RAWDATA!C32</f>
        <v>0</v>
      </c>
      <c r="D34" s="40">
        <f>RAWDATA!D32</f>
        <v>0</v>
      </c>
      <c r="E34" s="40">
        <f>RAWDATA!E32</f>
        <v>0</v>
      </c>
      <c r="F34" s="39">
        <f>RAWDATA!I32</f>
        <v>0</v>
      </c>
      <c r="G34" s="39">
        <f>RAWDATA!J32</f>
        <v>0</v>
      </c>
      <c r="H34" s="40">
        <f>RAWDATA!N32</f>
        <v>0</v>
      </c>
      <c r="I34" s="40">
        <f>RAWDATA!O32</f>
        <v>0</v>
      </c>
      <c r="J34" s="38" t="str">
        <f t="shared" si="0"/>
        <v/>
      </c>
      <c r="K34" s="38" t="str">
        <f>IF(AND(B34=0,E34=0),"",IF(Notenliste!T32="KP"," ",IF(OR(Notenliste!W32="x", Notenliste!W32="X"), "bestanden",Notenliste!T32)))</f>
        <v/>
      </c>
      <c r="L34" s="38" t="str">
        <f>IF(AND(B34=0,E34=0)," ",Notenliste!S32)</f>
        <v xml:space="preserve"> </v>
      </c>
    </row>
    <row r="35" spans="1:13" s="33" customFormat="1" x14ac:dyDescent="0.25">
      <c r="A35" s="38">
        <v>32</v>
      </c>
      <c r="B35" s="39">
        <f>RAWDATA!B33</f>
        <v>0</v>
      </c>
      <c r="C35" s="39">
        <f>RAWDATA!C33</f>
        <v>0</v>
      </c>
      <c r="D35" s="40">
        <f>RAWDATA!D33</f>
        <v>0</v>
      </c>
      <c r="E35" s="40">
        <f>RAWDATA!E33</f>
        <v>0</v>
      </c>
      <c r="F35" s="39">
        <f>RAWDATA!I33</f>
        <v>0</v>
      </c>
      <c r="G35" s="39">
        <f>RAWDATA!J33</f>
        <v>0</v>
      </c>
      <c r="H35" s="40">
        <f>RAWDATA!N33</f>
        <v>0</v>
      </c>
      <c r="I35" s="40">
        <f>RAWDATA!O33</f>
        <v>0</v>
      </c>
      <c r="J35" s="38" t="str">
        <f t="shared" si="0"/>
        <v/>
      </c>
      <c r="K35" s="38" t="str">
        <f>IF(AND(B35=0,E35=0),"",IF(Notenliste!T33="KP"," ",IF(OR(Notenliste!W33="x", Notenliste!W33="X"), "bestanden",Notenliste!T33)))</f>
        <v/>
      </c>
      <c r="L35" s="38" t="str">
        <f>IF(AND(B35=0,E35=0)," ",Notenliste!S33)</f>
        <v xml:space="preserve"> </v>
      </c>
    </row>
    <row r="36" spans="1:13" s="33" customFormat="1" x14ac:dyDescent="0.25">
      <c r="A36" s="38">
        <v>33</v>
      </c>
      <c r="B36" s="39">
        <f>RAWDATA!B34</f>
        <v>0</v>
      </c>
      <c r="C36" s="39">
        <f>RAWDATA!C34</f>
        <v>0</v>
      </c>
      <c r="D36" s="40">
        <f>RAWDATA!D34</f>
        <v>0</v>
      </c>
      <c r="E36" s="40">
        <f>RAWDATA!E34</f>
        <v>0</v>
      </c>
      <c r="F36" s="39">
        <f>RAWDATA!I34</f>
        <v>0</v>
      </c>
      <c r="G36" s="39">
        <f>RAWDATA!J34</f>
        <v>0</v>
      </c>
      <c r="H36" s="40">
        <f>RAWDATA!N34</f>
        <v>0</v>
      </c>
      <c r="I36" s="40">
        <f>RAWDATA!O34</f>
        <v>0</v>
      </c>
      <c r="J36" s="38" t="str">
        <f t="shared" si="0"/>
        <v/>
      </c>
      <c r="K36" s="38" t="str">
        <f>IF(AND(B36=0,E36=0),"",IF(Notenliste!T34="KP"," ",IF(OR(Notenliste!W34="x", Notenliste!W34="X"), "bestanden",Notenliste!T34)))</f>
        <v/>
      </c>
      <c r="L36" s="38" t="str">
        <f>IF(AND(B36=0,E36=0)," ",Notenliste!S34)</f>
        <v xml:space="preserve"> </v>
      </c>
    </row>
    <row r="37" spans="1:13" s="33" customFormat="1" x14ac:dyDescent="0.25">
      <c r="A37" s="38">
        <v>34</v>
      </c>
      <c r="B37" s="39">
        <f>RAWDATA!B35</f>
        <v>0</v>
      </c>
      <c r="C37" s="39">
        <f>RAWDATA!C35</f>
        <v>0</v>
      </c>
      <c r="D37" s="40">
        <f>RAWDATA!D35</f>
        <v>0</v>
      </c>
      <c r="E37" s="40">
        <f>RAWDATA!E35</f>
        <v>0</v>
      </c>
      <c r="F37" s="39">
        <f>RAWDATA!I35</f>
        <v>0</v>
      </c>
      <c r="G37" s="39">
        <f>RAWDATA!J35</f>
        <v>0</v>
      </c>
      <c r="H37" s="40">
        <f>RAWDATA!N35</f>
        <v>0</v>
      </c>
      <c r="I37" s="40">
        <f>RAWDATA!O35</f>
        <v>0</v>
      </c>
      <c r="J37" s="38" t="str">
        <f t="shared" si="0"/>
        <v/>
      </c>
      <c r="K37" s="38" t="str">
        <f>IF(AND(B37=0,E37=0),"",IF(Notenliste!T35="KP"," ",IF(OR(Notenliste!W35="x", Notenliste!W35="X"), "bestanden",Notenliste!T35)))</f>
        <v/>
      </c>
      <c r="L37" s="38" t="str">
        <f>IF(AND(B37=0,E37=0)," ",Notenliste!S35)</f>
        <v xml:space="preserve"> </v>
      </c>
    </row>
    <row r="38" spans="1:13" s="33" customFormat="1" x14ac:dyDescent="0.25">
      <c r="A38" s="38">
        <v>35</v>
      </c>
      <c r="B38" s="39">
        <f>RAWDATA!B36</f>
        <v>0</v>
      </c>
      <c r="C38" s="39">
        <f>RAWDATA!C36</f>
        <v>0</v>
      </c>
      <c r="D38" s="40">
        <f>RAWDATA!D36</f>
        <v>0</v>
      </c>
      <c r="E38" s="40">
        <f>RAWDATA!E36</f>
        <v>0</v>
      </c>
      <c r="F38" s="39">
        <f>RAWDATA!I36</f>
        <v>0</v>
      </c>
      <c r="G38" s="39">
        <f>RAWDATA!J36</f>
        <v>0</v>
      </c>
      <c r="H38" s="40">
        <f>RAWDATA!N36</f>
        <v>0</v>
      </c>
      <c r="I38" s="40">
        <f>RAWDATA!O36</f>
        <v>0</v>
      </c>
      <c r="J38" s="38" t="str">
        <f t="shared" si="0"/>
        <v/>
      </c>
      <c r="K38" s="38" t="str">
        <f>IF(AND(B38=0,E38=0),"",IF(Notenliste!T36="KP"," ",IF(OR(Notenliste!W36="x", Notenliste!W36="X"), "bestanden",Notenliste!T36)))</f>
        <v/>
      </c>
      <c r="L38" s="38" t="str">
        <f>IF(AND(B38=0,E38=0)," ",Notenliste!S36)</f>
        <v xml:space="preserve"> </v>
      </c>
    </row>
    <row r="39" spans="1:13" s="33" customFormat="1" x14ac:dyDescent="0.25">
      <c r="A39" s="41"/>
      <c r="B39" s="42"/>
      <c r="C39" s="42"/>
      <c r="D39" s="43"/>
      <c r="E39" s="43"/>
      <c r="F39" s="42"/>
      <c r="G39" s="42"/>
      <c r="H39" s="44"/>
      <c r="I39" s="44"/>
      <c r="J39" s="38">
        <f>COUNTIF(J4:J38,"X")</f>
        <v>0</v>
      </c>
      <c r="K39" s="41"/>
      <c r="L39" s="41"/>
    </row>
    <row r="40" spans="1:13" s="33" customFormat="1" x14ac:dyDescent="0.25">
      <c r="A40" s="102" t="s">
        <v>40</v>
      </c>
      <c r="B40" s="98"/>
      <c r="C40" s="98"/>
      <c r="D40" s="98"/>
      <c r="E40" s="98"/>
      <c r="F40" s="98"/>
      <c r="G40" s="98"/>
      <c r="H40" s="98"/>
      <c r="I40" s="98"/>
      <c r="J40" s="98"/>
      <c r="K40" s="98"/>
      <c r="L40" s="98"/>
    </row>
    <row r="41" spans="1:13" s="33" customFormat="1" x14ac:dyDescent="0.25">
      <c r="A41" s="98"/>
      <c r="B41" s="98"/>
      <c r="C41" s="98"/>
      <c r="D41" s="98"/>
      <c r="E41" s="98"/>
      <c r="F41" s="98"/>
      <c r="G41" s="98"/>
      <c r="H41" s="98"/>
      <c r="I41" s="98"/>
      <c r="J41" s="98"/>
      <c r="K41" s="98"/>
      <c r="L41" s="98"/>
    </row>
    <row r="42" spans="1:13" s="33" customFormat="1" x14ac:dyDescent="0.25">
      <c r="A42" s="98"/>
      <c r="B42" s="98"/>
      <c r="C42" s="98"/>
      <c r="D42" s="98"/>
      <c r="E42" s="98"/>
      <c r="F42" s="98"/>
      <c r="G42" s="98"/>
      <c r="H42" s="98"/>
      <c r="I42" s="98"/>
      <c r="J42" s="98"/>
      <c r="K42" s="98"/>
      <c r="L42" s="98"/>
    </row>
    <row r="43" spans="1:13" s="33" customFormat="1" x14ac:dyDescent="0.25">
      <c r="A43" s="98"/>
      <c r="B43" s="98"/>
      <c r="C43" s="98"/>
      <c r="D43" s="98"/>
      <c r="E43" s="98"/>
      <c r="F43" s="98"/>
      <c r="G43" s="98"/>
      <c r="H43" s="98"/>
      <c r="I43" s="98"/>
      <c r="J43" s="98"/>
      <c r="K43" s="98"/>
      <c r="L43" s="98"/>
    </row>
    <row r="44" spans="1:13" x14ac:dyDescent="0.25">
      <c r="A44" s="96"/>
      <c r="B44" s="103"/>
      <c r="C44" s="103"/>
      <c r="D44" s="104"/>
      <c r="E44" s="104"/>
      <c r="F44" s="103"/>
      <c r="G44" s="103"/>
      <c r="H44" s="103"/>
      <c r="I44" s="103"/>
      <c r="J44" s="96"/>
      <c r="K44" s="96"/>
      <c r="L44" s="96"/>
      <c r="M44" s="33"/>
    </row>
  </sheetData>
  <sheetProtection sheet="1" objects="1" scenarios="1"/>
  <mergeCells count="4">
    <mergeCell ref="A1:L1"/>
    <mergeCell ref="A2:E2"/>
    <mergeCell ref="F2:L2"/>
    <mergeCell ref="A40:L44"/>
  </mergeCells>
  <pageMargins left="0.70866141732283472" right="0.70866141732283472" top="0.90551181102362222" bottom="1.1023622047244088" header="0.70866141732283472" footer="0.55118110236220474"/>
  <pageSetup paperSize="9" scale="61" orientation="landscape" horizontalDpi="2147483648"/>
  <headerFooter>
    <oddHeader>&amp;L&amp;G&amp;R&amp;"Arial Black,Standard"&amp;36 SpZ</oddHeader>
    <oddFooter>&amp;C&amp;D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0"/>
  <sheetViews>
    <sheetView showZeros="0" workbookViewId="0">
      <selection activeCell="W6" sqref="W1:W1048576"/>
    </sheetView>
  </sheetViews>
  <sheetFormatPr baseColWidth="10" defaultColWidth="0" defaultRowHeight="15" customHeight="1" zeroHeight="1" x14ac:dyDescent="0.25"/>
  <cols>
    <col min="1" max="1" width="3.7109375" style="29" bestFit="1" customWidth="1"/>
    <col min="2" max="2" width="20.42578125" bestFit="1" customWidth="1"/>
    <col min="3" max="3" width="17.42578125" customWidth="1"/>
    <col min="4" max="4" width="6.42578125" style="32" customWidth="1"/>
    <col min="5" max="5" width="9.7109375" style="32" customWidth="1"/>
    <col min="6" max="6" width="0.85546875" style="32" customWidth="1"/>
    <col min="7" max="20" width="7.7109375" style="32" customWidth="1"/>
    <col min="21" max="21" width="0.85546875" style="32" customWidth="1"/>
    <col min="22" max="22" width="10.7109375" style="45" customWidth="1"/>
    <col min="23" max="23" width="10.7109375" style="1" customWidth="1"/>
    <col min="24" max="31" width="0" hidden="1" customWidth="1"/>
    <col min="32" max="16384" width="11.42578125" hidden="1"/>
  </cols>
  <sheetData>
    <row r="1" spans="1:23" ht="20.100000000000001" customHeight="1" x14ac:dyDescent="0.25">
      <c r="A1" s="105" t="str">
        <f>Notenliste!B44&amp;Notenliste!B45</f>
        <v>course.namecourse.alternative</v>
      </c>
      <c r="B1" s="103"/>
      <c r="C1" s="103"/>
      <c r="D1" s="104"/>
      <c r="E1" s="104"/>
      <c r="F1" s="104"/>
      <c r="G1" s="104"/>
      <c r="H1" s="104"/>
      <c r="I1" s="104"/>
      <c r="J1" s="104"/>
      <c r="K1" s="104"/>
      <c r="L1" s="104"/>
      <c r="M1" s="104"/>
      <c r="N1" s="104"/>
      <c r="O1" s="104"/>
      <c r="P1" s="104"/>
      <c r="Q1" s="104"/>
      <c r="R1" s="104"/>
      <c r="S1" s="104"/>
      <c r="T1" s="104"/>
      <c r="U1" s="104"/>
      <c r="V1" s="106"/>
      <c r="W1" s="107"/>
    </row>
    <row r="2" spans="1:23" ht="20.100000000000001" customHeight="1" x14ac:dyDescent="0.25">
      <c r="A2" s="105" t="s">
        <v>41</v>
      </c>
      <c r="B2" s="103"/>
      <c r="C2" s="103"/>
      <c r="D2" s="104"/>
      <c r="E2" s="104"/>
      <c r="F2" s="104"/>
      <c r="G2" s="104"/>
      <c r="H2" s="104"/>
      <c r="I2" s="104"/>
      <c r="J2" s="104"/>
      <c r="K2" s="104"/>
      <c r="L2" s="104"/>
      <c r="M2" s="104"/>
      <c r="N2" s="104"/>
      <c r="O2" s="104"/>
      <c r="P2" s="104"/>
      <c r="Q2" s="104"/>
      <c r="R2" s="104"/>
      <c r="S2" s="104"/>
      <c r="T2" s="104"/>
      <c r="U2" s="104"/>
      <c r="V2" s="106"/>
      <c r="W2" s="107"/>
    </row>
    <row r="3" spans="1:23" ht="15" customHeight="1" x14ac:dyDescent="0.25">
      <c r="A3" s="108" t="str">
        <f>"Dozent/in: "&amp;Notenliste!B41</f>
        <v>Dozent/in: course.teacher_name</v>
      </c>
      <c r="B3" s="103"/>
      <c r="C3" s="103"/>
      <c r="D3" s="104"/>
      <c r="E3" s="104"/>
      <c r="F3" s="46"/>
      <c r="G3" s="109"/>
      <c r="H3" s="104"/>
      <c r="I3" s="104"/>
      <c r="J3" s="104"/>
      <c r="K3" s="104"/>
      <c r="L3" s="104"/>
      <c r="M3" s="104"/>
      <c r="N3" s="104"/>
      <c r="O3" s="104"/>
      <c r="P3" s="104"/>
      <c r="Q3" s="104"/>
      <c r="R3" s="104"/>
      <c r="S3" s="104"/>
      <c r="T3" s="104"/>
      <c r="U3" s="104"/>
      <c r="V3" s="106"/>
      <c r="W3" s="107"/>
    </row>
    <row r="4" spans="1:23" s="47" customFormat="1" ht="40.5" customHeight="1" x14ac:dyDescent="0.25">
      <c r="A4" s="110" t="s">
        <v>0</v>
      </c>
      <c r="B4" s="110" t="s">
        <v>1</v>
      </c>
      <c r="C4" s="110" t="s">
        <v>2</v>
      </c>
      <c r="D4" s="110" t="s">
        <v>36</v>
      </c>
      <c r="E4" s="112" t="s">
        <v>37</v>
      </c>
      <c r="F4" s="48"/>
      <c r="G4" s="49"/>
      <c r="H4" s="35"/>
      <c r="I4" s="35"/>
      <c r="J4" s="35"/>
      <c r="K4" s="35"/>
      <c r="L4" s="35"/>
      <c r="M4" s="35"/>
      <c r="N4" s="35"/>
      <c r="O4" s="35"/>
      <c r="P4" s="35"/>
      <c r="Q4" s="35"/>
      <c r="R4" s="35"/>
      <c r="S4" s="35"/>
      <c r="T4" s="35"/>
      <c r="U4" s="50"/>
      <c r="V4" s="114" t="s">
        <v>38</v>
      </c>
      <c r="W4" s="114" t="s">
        <v>42</v>
      </c>
    </row>
    <row r="5" spans="1:23" s="47" customFormat="1" ht="14.45" customHeight="1" x14ac:dyDescent="0.25">
      <c r="A5" s="111"/>
      <c r="B5" s="111"/>
      <c r="C5" s="111"/>
      <c r="D5" s="111"/>
      <c r="E5" s="113"/>
      <c r="F5" s="51"/>
      <c r="G5" s="49">
        <v>1</v>
      </c>
      <c r="H5" s="35">
        <v>2</v>
      </c>
      <c r="I5" s="35">
        <v>3</v>
      </c>
      <c r="J5" s="35">
        <v>4</v>
      </c>
      <c r="K5" s="35">
        <v>5</v>
      </c>
      <c r="L5" s="35">
        <v>6</v>
      </c>
      <c r="M5" s="35">
        <v>7</v>
      </c>
      <c r="N5" s="35">
        <v>8</v>
      </c>
      <c r="O5" s="35">
        <v>9</v>
      </c>
      <c r="P5" s="35">
        <v>10</v>
      </c>
      <c r="Q5" s="35">
        <v>11</v>
      </c>
      <c r="R5" s="35">
        <v>12</v>
      </c>
      <c r="S5" s="35">
        <v>13</v>
      </c>
      <c r="T5" s="35">
        <v>14</v>
      </c>
      <c r="U5" s="52"/>
      <c r="V5" s="111"/>
      <c r="W5" s="111"/>
    </row>
    <row r="6" spans="1:23" ht="14.45" customHeight="1" x14ac:dyDescent="0.25">
      <c r="A6" s="38">
        <v>1</v>
      </c>
      <c r="B6" s="39" t="str">
        <f>RAWDATA!B2</f>
        <v>applicant.last_name</v>
      </c>
      <c r="C6" s="39" t="str">
        <f>RAWDATA!C2</f>
        <v>applicant.first_name</v>
      </c>
      <c r="D6" s="39" t="str">
        <f>RAWDATA!D2</f>
        <v>applicant.origin.short_name</v>
      </c>
      <c r="E6" s="39" t="str">
        <f>RAWDATA!E2</f>
        <v>applicant.tag</v>
      </c>
      <c r="F6" s="53"/>
      <c r="G6" s="54"/>
      <c r="H6" s="54"/>
      <c r="I6" s="54"/>
      <c r="J6" s="54"/>
      <c r="K6" s="54"/>
      <c r="L6" s="54"/>
      <c r="M6" s="54"/>
      <c r="N6" s="54"/>
      <c r="O6" s="54"/>
      <c r="P6" s="54"/>
      <c r="Q6" s="54"/>
      <c r="R6" s="54"/>
      <c r="S6" s="54"/>
      <c r="T6" s="54"/>
      <c r="U6" s="53"/>
      <c r="V6" s="55"/>
      <c r="W6" s="55"/>
    </row>
    <row r="7" spans="1:23" ht="14.45" customHeight="1" x14ac:dyDescent="0.25">
      <c r="A7" s="38">
        <v>2</v>
      </c>
      <c r="B7" s="39">
        <f>RAWDATA!B3</f>
        <v>0</v>
      </c>
      <c r="C7" s="39">
        <f>RAWDATA!C3</f>
        <v>0</v>
      </c>
      <c r="D7" s="39">
        <f>RAWDATA!D3</f>
        <v>0</v>
      </c>
      <c r="E7" s="39">
        <f>RAWDATA!E3</f>
        <v>0</v>
      </c>
      <c r="F7" s="53"/>
      <c r="G7" s="54"/>
      <c r="H7" s="54"/>
      <c r="I7" s="54"/>
      <c r="J7" s="54"/>
      <c r="K7" s="54"/>
      <c r="L7" s="54"/>
      <c r="M7" s="54"/>
      <c r="N7" s="54"/>
      <c r="O7" s="54"/>
      <c r="P7" s="54"/>
      <c r="Q7" s="54"/>
      <c r="R7" s="54"/>
      <c r="S7" s="54"/>
      <c r="T7" s="54"/>
      <c r="U7" s="53"/>
      <c r="V7" s="55"/>
      <c r="W7" s="55"/>
    </row>
    <row r="8" spans="1:23" ht="14.45" customHeight="1" x14ac:dyDescent="0.25">
      <c r="A8" s="38">
        <v>3</v>
      </c>
      <c r="B8" s="39">
        <f>RAWDATA!B4</f>
        <v>0</v>
      </c>
      <c r="C8" s="39">
        <f>RAWDATA!C4</f>
        <v>0</v>
      </c>
      <c r="D8" s="39">
        <f>RAWDATA!D4</f>
        <v>0</v>
      </c>
      <c r="E8" s="39">
        <f>RAWDATA!E4</f>
        <v>0</v>
      </c>
      <c r="F8" s="53"/>
      <c r="G8" s="54"/>
      <c r="H8" s="54"/>
      <c r="I8" s="54"/>
      <c r="J8" s="54"/>
      <c r="K8" s="54"/>
      <c r="L8" s="54"/>
      <c r="M8" s="54"/>
      <c r="N8" s="54"/>
      <c r="O8" s="54"/>
      <c r="P8" s="54"/>
      <c r="Q8" s="54"/>
      <c r="R8" s="54"/>
      <c r="S8" s="54"/>
      <c r="T8" s="54"/>
      <c r="U8" s="53"/>
      <c r="V8" s="55"/>
      <c r="W8" s="55"/>
    </row>
    <row r="9" spans="1:23" ht="14.45" customHeight="1" x14ac:dyDescent="0.25">
      <c r="A9" s="38">
        <v>4</v>
      </c>
      <c r="B9" s="39">
        <f>RAWDATA!B5</f>
        <v>0</v>
      </c>
      <c r="C9" s="39">
        <f>RAWDATA!C5</f>
        <v>0</v>
      </c>
      <c r="D9" s="39">
        <f>RAWDATA!D5</f>
        <v>0</v>
      </c>
      <c r="E9" s="39">
        <f>RAWDATA!E5</f>
        <v>0</v>
      </c>
      <c r="F9" s="53"/>
      <c r="G9" s="54"/>
      <c r="H9" s="54"/>
      <c r="I9" s="54"/>
      <c r="J9" s="54"/>
      <c r="K9" s="54"/>
      <c r="L9" s="54"/>
      <c r="M9" s="54"/>
      <c r="N9" s="54"/>
      <c r="O9" s="54"/>
      <c r="P9" s="54"/>
      <c r="Q9" s="54"/>
      <c r="R9" s="54"/>
      <c r="S9" s="54"/>
      <c r="T9" s="54"/>
      <c r="U9" s="53"/>
      <c r="V9" s="55"/>
      <c r="W9" s="55"/>
    </row>
    <row r="10" spans="1:23" ht="14.45" customHeight="1" x14ac:dyDescent="0.25">
      <c r="A10" s="38">
        <v>5</v>
      </c>
      <c r="B10" s="39">
        <f>RAWDATA!B6</f>
        <v>0</v>
      </c>
      <c r="C10" s="39">
        <f>RAWDATA!C6</f>
        <v>0</v>
      </c>
      <c r="D10" s="39">
        <f>RAWDATA!D6</f>
        <v>0</v>
      </c>
      <c r="E10" s="39">
        <f>RAWDATA!E6</f>
        <v>0</v>
      </c>
      <c r="F10" s="53"/>
      <c r="G10" s="54"/>
      <c r="H10" s="54"/>
      <c r="I10" s="54"/>
      <c r="J10" s="54"/>
      <c r="K10" s="54"/>
      <c r="L10" s="54"/>
      <c r="M10" s="54"/>
      <c r="N10" s="54"/>
      <c r="O10" s="54"/>
      <c r="P10" s="54"/>
      <c r="Q10" s="54"/>
      <c r="R10" s="54"/>
      <c r="S10" s="54"/>
      <c r="T10" s="54"/>
      <c r="U10" s="53"/>
      <c r="V10" s="55"/>
      <c r="W10" s="55"/>
    </row>
    <row r="11" spans="1:23" ht="14.45" customHeight="1" x14ac:dyDescent="0.25">
      <c r="A11" s="38">
        <v>6</v>
      </c>
      <c r="B11" s="39">
        <f>RAWDATA!B7</f>
        <v>0</v>
      </c>
      <c r="C11" s="39">
        <f>RAWDATA!C7</f>
        <v>0</v>
      </c>
      <c r="D11" s="39">
        <f>RAWDATA!D7</f>
        <v>0</v>
      </c>
      <c r="E11" s="39">
        <f>RAWDATA!E7</f>
        <v>0</v>
      </c>
      <c r="F11" s="53"/>
      <c r="G11" s="54"/>
      <c r="H11" s="54"/>
      <c r="I11" s="54"/>
      <c r="J11" s="54"/>
      <c r="K11" s="54"/>
      <c r="L11" s="54"/>
      <c r="M11" s="54"/>
      <c r="N11" s="54"/>
      <c r="O11" s="54"/>
      <c r="P11" s="54"/>
      <c r="Q11" s="54"/>
      <c r="R11" s="54"/>
      <c r="S11" s="54"/>
      <c r="T11" s="54"/>
      <c r="U11" s="53"/>
      <c r="V11" s="55"/>
      <c r="W11" s="55"/>
    </row>
    <row r="12" spans="1:23" ht="14.45" customHeight="1" x14ac:dyDescent="0.25">
      <c r="A12" s="38">
        <v>7</v>
      </c>
      <c r="B12" s="39">
        <f>RAWDATA!B8</f>
        <v>0</v>
      </c>
      <c r="C12" s="39">
        <f>RAWDATA!C8</f>
        <v>0</v>
      </c>
      <c r="D12" s="39">
        <f>RAWDATA!D8</f>
        <v>0</v>
      </c>
      <c r="E12" s="39">
        <f>RAWDATA!E8</f>
        <v>0</v>
      </c>
      <c r="F12" s="53"/>
      <c r="G12" s="54"/>
      <c r="H12" s="54"/>
      <c r="I12" s="54"/>
      <c r="J12" s="54"/>
      <c r="K12" s="54"/>
      <c r="L12" s="54"/>
      <c r="M12" s="54"/>
      <c r="N12" s="54"/>
      <c r="O12" s="54"/>
      <c r="P12" s="54"/>
      <c r="Q12" s="54"/>
      <c r="R12" s="54"/>
      <c r="S12" s="54"/>
      <c r="T12" s="54"/>
      <c r="U12" s="53"/>
      <c r="V12" s="55"/>
      <c r="W12" s="55"/>
    </row>
    <row r="13" spans="1:23" ht="14.45" customHeight="1" x14ac:dyDescent="0.25">
      <c r="A13" s="38">
        <v>8</v>
      </c>
      <c r="B13" s="39">
        <f>RAWDATA!B9</f>
        <v>0</v>
      </c>
      <c r="C13" s="39">
        <f>RAWDATA!C9</f>
        <v>0</v>
      </c>
      <c r="D13" s="39">
        <f>RAWDATA!D9</f>
        <v>0</v>
      </c>
      <c r="E13" s="39">
        <f>RAWDATA!E9</f>
        <v>0</v>
      </c>
      <c r="F13" s="53"/>
      <c r="G13" s="54"/>
      <c r="H13" s="54"/>
      <c r="I13" s="54"/>
      <c r="J13" s="54"/>
      <c r="K13" s="54"/>
      <c r="L13" s="54"/>
      <c r="M13" s="54"/>
      <c r="N13" s="54"/>
      <c r="O13" s="54"/>
      <c r="P13" s="54"/>
      <c r="Q13" s="54"/>
      <c r="R13" s="54"/>
      <c r="S13" s="54"/>
      <c r="T13" s="54"/>
      <c r="U13" s="53"/>
      <c r="V13" s="55"/>
      <c r="W13" s="55"/>
    </row>
    <row r="14" spans="1:23" ht="14.45" customHeight="1" x14ac:dyDescent="0.25">
      <c r="A14" s="38">
        <v>9</v>
      </c>
      <c r="B14" s="39">
        <f>RAWDATA!B10</f>
        <v>0</v>
      </c>
      <c r="C14" s="39">
        <f>RAWDATA!C10</f>
        <v>0</v>
      </c>
      <c r="D14" s="39">
        <f>RAWDATA!D10</f>
        <v>0</v>
      </c>
      <c r="E14" s="39">
        <f>RAWDATA!E10</f>
        <v>0</v>
      </c>
      <c r="F14" s="53"/>
      <c r="G14" s="54"/>
      <c r="H14" s="54"/>
      <c r="I14" s="54"/>
      <c r="J14" s="54"/>
      <c r="K14" s="54"/>
      <c r="L14" s="54"/>
      <c r="M14" s="54"/>
      <c r="N14" s="54"/>
      <c r="O14" s="54"/>
      <c r="P14" s="54"/>
      <c r="Q14" s="54"/>
      <c r="R14" s="54"/>
      <c r="S14" s="54"/>
      <c r="T14" s="54"/>
      <c r="U14" s="53"/>
      <c r="V14" s="55"/>
      <c r="W14" s="55"/>
    </row>
    <row r="15" spans="1:23" ht="14.45" customHeight="1" x14ac:dyDescent="0.25">
      <c r="A15" s="38">
        <v>10</v>
      </c>
      <c r="B15" s="39">
        <f>RAWDATA!B11</f>
        <v>0</v>
      </c>
      <c r="C15" s="39">
        <f>RAWDATA!C11</f>
        <v>0</v>
      </c>
      <c r="D15" s="39">
        <f>RAWDATA!D11</f>
        <v>0</v>
      </c>
      <c r="E15" s="39">
        <f>RAWDATA!E11</f>
        <v>0</v>
      </c>
      <c r="F15" s="53"/>
      <c r="G15" s="54"/>
      <c r="H15" s="54"/>
      <c r="I15" s="54"/>
      <c r="J15" s="54"/>
      <c r="K15" s="54"/>
      <c r="L15" s="54"/>
      <c r="M15" s="54"/>
      <c r="N15" s="54"/>
      <c r="O15" s="54"/>
      <c r="P15" s="54"/>
      <c r="Q15" s="54"/>
      <c r="R15" s="54"/>
      <c r="S15" s="54"/>
      <c r="T15" s="54"/>
      <c r="U15" s="53"/>
      <c r="V15" s="55"/>
      <c r="W15" s="55"/>
    </row>
    <row r="16" spans="1:23" ht="14.45" customHeight="1" x14ac:dyDescent="0.25">
      <c r="A16" s="38">
        <v>11</v>
      </c>
      <c r="B16" s="39">
        <f>RAWDATA!B12</f>
        <v>0</v>
      </c>
      <c r="C16" s="39">
        <f>RAWDATA!C12</f>
        <v>0</v>
      </c>
      <c r="D16" s="39">
        <f>RAWDATA!D12</f>
        <v>0</v>
      </c>
      <c r="E16" s="39">
        <f>RAWDATA!E12</f>
        <v>0</v>
      </c>
      <c r="F16" s="53"/>
      <c r="G16" s="54"/>
      <c r="H16" s="54"/>
      <c r="I16" s="54"/>
      <c r="J16" s="54"/>
      <c r="K16" s="54"/>
      <c r="L16" s="54"/>
      <c r="M16" s="54"/>
      <c r="N16" s="54"/>
      <c r="O16" s="54"/>
      <c r="P16" s="54"/>
      <c r="Q16" s="54"/>
      <c r="R16" s="54"/>
      <c r="S16" s="54"/>
      <c r="T16" s="54"/>
      <c r="U16" s="53"/>
      <c r="V16" s="55"/>
      <c r="W16" s="55"/>
    </row>
    <row r="17" spans="1:23" ht="14.45" customHeight="1" x14ac:dyDescent="0.25">
      <c r="A17" s="38">
        <v>12</v>
      </c>
      <c r="B17" s="39">
        <f>RAWDATA!B13</f>
        <v>0</v>
      </c>
      <c r="C17" s="39">
        <f>RAWDATA!C13</f>
        <v>0</v>
      </c>
      <c r="D17" s="39">
        <f>RAWDATA!D13</f>
        <v>0</v>
      </c>
      <c r="E17" s="39">
        <f>RAWDATA!E13</f>
        <v>0</v>
      </c>
      <c r="F17" s="53"/>
      <c r="G17" s="54"/>
      <c r="H17" s="54"/>
      <c r="I17" s="54"/>
      <c r="J17" s="54"/>
      <c r="K17" s="54"/>
      <c r="L17" s="54"/>
      <c r="M17" s="54"/>
      <c r="N17" s="54"/>
      <c r="O17" s="54"/>
      <c r="P17" s="54"/>
      <c r="Q17" s="54"/>
      <c r="R17" s="54"/>
      <c r="S17" s="54"/>
      <c r="T17" s="54"/>
      <c r="U17" s="53"/>
      <c r="V17" s="55"/>
      <c r="W17" s="55"/>
    </row>
    <row r="18" spans="1:23" ht="14.45" customHeight="1" x14ac:dyDescent="0.25">
      <c r="A18" s="38">
        <v>13</v>
      </c>
      <c r="B18" s="39">
        <f>RAWDATA!B14</f>
        <v>0</v>
      </c>
      <c r="C18" s="39">
        <f>RAWDATA!C14</f>
        <v>0</v>
      </c>
      <c r="D18" s="39">
        <f>RAWDATA!D14</f>
        <v>0</v>
      </c>
      <c r="E18" s="39">
        <f>RAWDATA!E14</f>
        <v>0</v>
      </c>
      <c r="F18" s="53"/>
      <c r="G18" s="54"/>
      <c r="H18" s="54"/>
      <c r="I18" s="54"/>
      <c r="J18" s="54"/>
      <c r="K18" s="54"/>
      <c r="L18" s="54"/>
      <c r="M18" s="54"/>
      <c r="N18" s="54"/>
      <c r="O18" s="54"/>
      <c r="P18" s="54"/>
      <c r="Q18" s="54"/>
      <c r="R18" s="54"/>
      <c r="S18" s="54"/>
      <c r="T18" s="54"/>
      <c r="U18" s="53"/>
      <c r="V18" s="55"/>
      <c r="W18" s="55"/>
    </row>
    <row r="19" spans="1:23" ht="14.45" customHeight="1" x14ac:dyDescent="0.25">
      <c r="A19" s="38">
        <v>14</v>
      </c>
      <c r="B19" s="39">
        <f>RAWDATA!B15</f>
        <v>0</v>
      </c>
      <c r="C19" s="39">
        <f>RAWDATA!C15</f>
        <v>0</v>
      </c>
      <c r="D19" s="39">
        <f>RAWDATA!D15</f>
        <v>0</v>
      </c>
      <c r="E19" s="39">
        <f>RAWDATA!E15</f>
        <v>0</v>
      </c>
      <c r="F19" s="53"/>
      <c r="G19" s="54"/>
      <c r="H19" s="54"/>
      <c r="I19" s="54"/>
      <c r="J19" s="54"/>
      <c r="K19" s="54"/>
      <c r="L19" s="54"/>
      <c r="M19" s="54"/>
      <c r="N19" s="54"/>
      <c r="O19" s="54"/>
      <c r="P19" s="54"/>
      <c r="Q19" s="54"/>
      <c r="R19" s="54"/>
      <c r="S19" s="54"/>
      <c r="T19" s="54"/>
      <c r="U19" s="53"/>
      <c r="V19" s="55"/>
      <c r="W19" s="55"/>
    </row>
    <row r="20" spans="1:23" ht="14.45" customHeight="1" x14ac:dyDescent="0.25">
      <c r="A20" s="38">
        <v>15</v>
      </c>
      <c r="B20" s="39">
        <f>RAWDATA!B16</f>
        <v>0</v>
      </c>
      <c r="C20" s="39">
        <f>RAWDATA!C16</f>
        <v>0</v>
      </c>
      <c r="D20" s="39">
        <f>RAWDATA!D16</f>
        <v>0</v>
      </c>
      <c r="E20" s="39">
        <f>RAWDATA!E16</f>
        <v>0</v>
      </c>
      <c r="F20" s="53"/>
      <c r="G20" s="54"/>
      <c r="H20" s="54"/>
      <c r="I20" s="54"/>
      <c r="J20" s="54"/>
      <c r="K20" s="54"/>
      <c r="L20" s="54"/>
      <c r="M20" s="54"/>
      <c r="N20" s="54"/>
      <c r="O20" s="54"/>
      <c r="P20" s="54"/>
      <c r="Q20" s="54"/>
      <c r="R20" s="54"/>
      <c r="S20" s="54"/>
      <c r="T20" s="54"/>
      <c r="U20" s="53"/>
      <c r="V20" s="55"/>
      <c r="W20" s="55"/>
    </row>
    <row r="21" spans="1:23" ht="14.45" customHeight="1" x14ac:dyDescent="0.25">
      <c r="A21" s="38">
        <v>16</v>
      </c>
      <c r="B21" s="39">
        <f>RAWDATA!B17</f>
        <v>0</v>
      </c>
      <c r="C21" s="39">
        <f>RAWDATA!C17</f>
        <v>0</v>
      </c>
      <c r="D21" s="39">
        <f>RAWDATA!D17</f>
        <v>0</v>
      </c>
      <c r="E21" s="39">
        <f>RAWDATA!E17</f>
        <v>0</v>
      </c>
      <c r="F21" s="53"/>
      <c r="G21" s="54"/>
      <c r="H21" s="54"/>
      <c r="I21" s="54"/>
      <c r="J21" s="54"/>
      <c r="K21" s="54"/>
      <c r="L21" s="54"/>
      <c r="M21" s="54"/>
      <c r="N21" s="54"/>
      <c r="O21" s="54"/>
      <c r="P21" s="54"/>
      <c r="Q21" s="54"/>
      <c r="R21" s="54"/>
      <c r="S21" s="54"/>
      <c r="T21" s="54"/>
      <c r="U21" s="53"/>
      <c r="V21" s="55"/>
      <c r="W21" s="55"/>
    </row>
    <row r="22" spans="1:23" ht="14.45" customHeight="1" x14ac:dyDescent="0.25">
      <c r="A22" s="38">
        <v>17</v>
      </c>
      <c r="B22" s="39">
        <f>RAWDATA!B18</f>
        <v>0</v>
      </c>
      <c r="C22" s="39">
        <f>RAWDATA!C18</f>
        <v>0</v>
      </c>
      <c r="D22" s="39">
        <f>RAWDATA!D18</f>
        <v>0</v>
      </c>
      <c r="E22" s="39">
        <f>RAWDATA!E18</f>
        <v>0</v>
      </c>
      <c r="F22" s="53"/>
      <c r="G22" s="54"/>
      <c r="H22" s="54"/>
      <c r="I22" s="54"/>
      <c r="J22" s="54"/>
      <c r="K22" s="54"/>
      <c r="L22" s="54"/>
      <c r="M22" s="54"/>
      <c r="N22" s="54"/>
      <c r="O22" s="54"/>
      <c r="P22" s="54"/>
      <c r="Q22" s="54"/>
      <c r="R22" s="54"/>
      <c r="S22" s="54"/>
      <c r="T22" s="54"/>
      <c r="U22" s="53"/>
      <c r="V22" s="55"/>
      <c r="W22" s="55"/>
    </row>
    <row r="23" spans="1:23" ht="14.45" customHeight="1" x14ac:dyDescent="0.25">
      <c r="A23" s="38">
        <v>18</v>
      </c>
      <c r="B23" s="39">
        <f>RAWDATA!B19</f>
        <v>0</v>
      </c>
      <c r="C23" s="39">
        <f>RAWDATA!C19</f>
        <v>0</v>
      </c>
      <c r="D23" s="39">
        <f>RAWDATA!D19</f>
        <v>0</v>
      </c>
      <c r="E23" s="39">
        <f>RAWDATA!E19</f>
        <v>0</v>
      </c>
      <c r="F23" s="53"/>
      <c r="G23" s="54"/>
      <c r="H23" s="54"/>
      <c r="I23" s="54"/>
      <c r="J23" s="54"/>
      <c r="K23" s="54"/>
      <c r="L23" s="54"/>
      <c r="M23" s="54"/>
      <c r="N23" s="54"/>
      <c r="O23" s="54"/>
      <c r="P23" s="54"/>
      <c r="Q23" s="54"/>
      <c r="R23" s="54"/>
      <c r="S23" s="54"/>
      <c r="T23" s="54"/>
      <c r="U23" s="53"/>
      <c r="V23" s="55"/>
      <c r="W23" s="55"/>
    </row>
    <row r="24" spans="1:23" ht="14.45" customHeight="1" x14ac:dyDescent="0.25">
      <c r="A24" s="38">
        <v>19</v>
      </c>
      <c r="B24" s="39">
        <f>RAWDATA!B20</f>
        <v>0</v>
      </c>
      <c r="C24" s="39">
        <f>RAWDATA!C20</f>
        <v>0</v>
      </c>
      <c r="D24" s="39">
        <f>RAWDATA!D20</f>
        <v>0</v>
      </c>
      <c r="E24" s="39">
        <f>RAWDATA!E20</f>
        <v>0</v>
      </c>
      <c r="F24" s="53"/>
      <c r="G24" s="54"/>
      <c r="H24" s="54"/>
      <c r="I24" s="54"/>
      <c r="J24" s="54"/>
      <c r="K24" s="54"/>
      <c r="L24" s="54"/>
      <c r="M24" s="54"/>
      <c r="N24" s="54"/>
      <c r="O24" s="54"/>
      <c r="P24" s="54"/>
      <c r="Q24" s="54"/>
      <c r="R24" s="54"/>
      <c r="S24" s="54"/>
      <c r="T24" s="54"/>
      <c r="U24" s="53"/>
      <c r="V24" s="55"/>
      <c r="W24" s="55"/>
    </row>
    <row r="25" spans="1:23" ht="14.45" customHeight="1" x14ac:dyDescent="0.25">
      <c r="A25" s="38">
        <v>20</v>
      </c>
      <c r="B25" s="39">
        <f>RAWDATA!B21</f>
        <v>0</v>
      </c>
      <c r="C25" s="39">
        <f>RAWDATA!C21</f>
        <v>0</v>
      </c>
      <c r="D25" s="39">
        <f>RAWDATA!D21</f>
        <v>0</v>
      </c>
      <c r="E25" s="39">
        <f>RAWDATA!E21</f>
        <v>0</v>
      </c>
      <c r="F25" s="53"/>
      <c r="G25" s="54"/>
      <c r="H25" s="54"/>
      <c r="I25" s="54"/>
      <c r="J25" s="54"/>
      <c r="K25" s="54"/>
      <c r="L25" s="54"/>
      <c r="M25" s="54"/>
      <c r="N25" s="54"/>
      <c r="O25" s="54"/>
      <c r="P25" s="54"/>
      <c r="Q25" s="54"/>
      <c r="R25" s="54"/>
      <c r="S25" s="54"/>
      <c r="T25" s="54"/>
      <c r="U25" s="53"/>
      <c r="V25" s="55"/>
      <c r="W25" s="55"/>
    </row>
    <row r="26" spans="1:23" ht="14.45" customHeight="1" x14ac:dyDescent="0.25">
      <c r="A26" s="38">
        <v>21</v>
      </c>
      <c r="B26" s="39">
        <f>RAWDATA!B22</f>
        <v>0</v>
      </c>
      <c r="C26" s="39">
        <f>RAWDATA!C22</f>
        <v>0</v>
      </c>
      <c r="D26" s="39">
        <f>RAWDATA!D22</f>
        <v>0</v>
      </c>
      <c r="E26" s="39">
        <f>RAWDATA!E22</f>
        <v>0</v>
      </c>
      <c r="F26" s="53"/>
      <c r="G26" s="54"/>
      <c r="H26" s="54"/>
      <c r="I26" s="54"/>
      <c r="J26" s="54"/>
      <c r="K26" s="54"/>
      <c r="L26" s="54"/>
      <c r="M26" s="54"/>
      <c r="N26" s="54"/>
      <c r="O26" s="54"/>
      <c r="P26" s="54"/>
      <c r="Q26" s="54"/>
      <c r="R26" s="54"/>
      <c r="S26" s="54"/>
      <c r="T26" s="54"/>
      <c r="U26" s="53"/>
      <c r="V26" s="55"/>
      <c r="W26" s="55"/>
    </row>
    <row r="27" spans="1:23" ht="14.45" customHeight="1" x14ac:dyDescent="0.25">
      <c r="A27" s="38">
        <v>22</v>
      </c>
      <c r="B27" s="39">
        <f>RAWDATA!B23</f>
        <v>0</v>
      </c>
      <c r="C27" s="39">
        <f>RAWDATA!C23</f>
        <v>0</v>
      </c>
      <c r="D27" s="39">
        <f>RAWDATA!D23</f>
        <v>0</v>
      </c>
      <c r="E27" s="39">
        <f>RAWDATA!E23</f>
        <v>0</v>
      </c>
      <c r="F27" s="53"/>
      <c r="G27" s="54"/>
      <c r="H27" s="54"/>
      <c r="I27" s="54"/>
      <c r="J27" s="54"/>
      <c r="K27" s="54"/>
      <c r="L27" s="54"/>
      <c r="M27" s="54"/>
      <c r="N27" s="54"/>
      <c r="O27" s="54"/>
      <c r="P27" s="54"/>
      <c r="Q27" s="54"/>
      <c r="R27" s="54"/>
      <c r="S27" s="54"/>
      <c r="T27" s="54"/>
      <c r="U27" s="53"/>
      <c r="V27" s="55"/>
      <c r="W27" s="55"/>
    </row>
    <row r="28" spans="1:23" ht="14.45" customHeight="1" x14ac:dyDescent="0.25">
      <c r="A28" s="38">
        <v>23</v>
      </c>
      <c r="B28" s="39">
        <f>RAWDATA!B24</f>
        <v>0</v>
      </c>
      <c r="C28" s="39">
        <f>RAWDATA!C24</f>
        <v>0</v>
      </c>
      <c r="D28" s="39">
        <f>RAWDATA!D24</f>
        <v>0</v>
      </c>
      <c r="E28" s="39">
        <f>RAWDATA!E24</f>
        <v>0</v>
      </c>
      <c r="F28" s="53"/>
      <c r="G28" s="54"/>
      <c r="H28" s="54"/>
      <c r="I28" s="54"/>
      <c r="J28" s="54"/>
      <c r="K28" s="54"/>
      <c r="L28" s="54"/>
      <c r="M28" s="54"/>
      <c r="N28" s="54"/>
      <c r="O28" s="54"/>
      <c r="P28" s="54"/>
      <c r="Q28" s="54"/>
      <c r="R28" s="54"/>
      <c r="S28" s="54"/>
      <c r="T28" s="54"/>
      <c r="U28" s="53"/>
      <c r="V28" s="55"/>
      <c r="W28" s="55"/>
    </row>
    <row r="29" spans="1:23" ht="14.45" customHeight="1" x14ac:dyDescent="0.25">
      <c r="A29" s="38">
        <v>24</v>
      </c>
      <c r="B29" s="39">
        <f>RAWDATA!B25</f>
        <v>0</v>
      </c>
      <c r="C29" s="39">
        <f>RAWDATA!C25</f>
        <v>0</v>
      </c>
      <c r="D29" s="39">
        <f>RAWDATA!D25</f>
        <v>0</v>
      </c>
      <c r="E29" s="39">
        <f>RAWDATA!E25</f>
        <v>0</v>
      </c>
      <c r="F29" s="53"/>
      <c r="G29" s="54"/>
      <c r="H29" s="54"/>
      <c r="I29" s="54"/>
      <c r="J29" s="54"/>
      <c r="K29" s="54"/>
      <c r="L29" s="54"/>
      <c r="M29" s="54"/>
      <c r="N29" s="54"/>
      <c r="O29" s="54"/>
      <c r="P29" s="54"/>
      <c r="Q29" s="54"/>
      <c r="R29" s="54"/>
      <c r="S29" s="54"/>
      <c r="T29" s="54"/>
      <c r="U29" s="53"/>
      <c r="V29" s="55"/>
      <c r="W29" s="55"/>
    </row>
    <row r="30" spans="1:23" ht="14.45" customHeight="1" x14ac:dyDescent="0.25">
      <c r="A30" s="38">
        <v>25</v>
      </c>
      <c r="B30" s="39">
        <f>RAWDATA!B26</f>
        <v>0</v>
      </c>
      <c r="C30" s="39">
        <f>RAWDATA!C26</f>
        <v>0</v>
      </c>
      <c r="D30" s="39">
        <f>RAWDATA!D26</f>
        <v>0</v>
      </c>
      <c r="E30" s="39">
        <f>RAWDATA!E26</f>
        <v>0</v>
      </c>
      <c r="F30" s="53"/>
      <c r="G30" s="54"/>
      <c r="H30" s="54"/>
      <c r="I30" s="54"/>
      <c r="J30" s="54"/>
      <c r="K30" s="54"/>
      <c r="L30" s="54"/>
      <c r="M30" s="54"/>
      <c r="N30" s="54"/>
      <c r="O30" s="54"/>
      <c r="P30" s="54"/>
      <c r="Q30" s="54"/>
      <c r="R30" s="54"/>
      <c r="S30" s="54"/>
      <c r="T30" s="54"/>
      <c r="U30" s="53"/>
      <c r="V30" s="55"/>
      <c r="W30" s="55"/>
    </row>
    <row r="31" spans="1:23" ht="14.45" customHeight="1" x14ac:dyDescent="0.25">
      <c r="A31" s="38">
        <v>26</v>
      </c>
      <c r="B31" s="39">
        <f>RAWDATA!B27</f>
        <v>0</v>
      </c>
      <c r="C31" s="39">
        <f>RAWDATA!C27</f>
        <v>0</v>
      </c>
      <c r="D31" s="39">
        <f>RAWDATA!D27</f>
        <v>0</v>
      </c>
      <c r="E31" s="39">
        <f>RAWDATA!E27</f>
        <v>0</v>
      </c>
      <c r="F31" s="53"/>
      <c r="G31" s="54"/>
      <c r="H31" s="54"/>
      <c r="I31" s="54"/>
      <c r="J31" s="54"/>
      <c r="K31" s="54"/>
      <c r="L31" s="54"/>
      <c r="M31" s="54"/>
      <c r="N31" s="54"/>
      <c r="O31" s="54"/>
      <c r="P31" s="54"/>
      <c r="Q31" s="54"/>
      <c r="R31" s="54"/>
      <c r="S31" s="54"/>
      <c r="T31" s="54"/>
      <c r="U31" s="53"/>
      <c r="V31" s="55"/>
      <c r="W31" s="55"/>
    </row>
    <row r="32" spans="1:23" ht="14.45" customHeight="1" x14ac:dyDescent="0.25">
      <c r="A32" s="38">
        <v>27</v>
      </c>
      <c r="B32" s="39">
        <f>RAWDATA!B28</f>
        <v>0</v>
      </c>
      <c r="C32" s="39">
        <f>RAWDATA!C28</f>
        <v>0</v>
      </c>
      <c r="D32" s="39">
        <f>RAWDATA!D28</f>
        <v>0</v>
      </c>
      <c r="E32" s="39">
        <f>RAWDATA!E28</f>
        <v>0</v>
      </c>
      <c r="F32" s="53"/>
      <c r="G32" s="54"/>
      <c r="H32" s="54"/>
      <c r="I32" s="54"/>
      <c r="J32" s="54"/>
      <c r="K32" s="54"/>
      <c r="L32" s="54"/>
      <c r="M32" s="54"/>
      <c r="N32" s="54"/>
      <c r="O32" s="54"/>
      <c r="P32" s="54"/>
      <c r="Q32" s="54"/>
      <c r="R32" s="54"/>
      <c r="S32" s="54"/>
      <c r="T32" s="54"/>
      <c r="U32" s="53"/>
      <c r="V32" s="55"/>
      <c r="W32" s="55"/>
    </row>
    <row r="33" spans="1:23" ht="14.45" customHeight="1" x14ac:dyDescent="0.25">
      <c r="A33" s="38">
        <v>28</v>
      </c>
      <c r="B33" s="39">
        <f>RAWDATA!B29</f>
        <v>0</v>
      </c>
      <c r="C33" s="39">
        <f>RAWDATA!C29</f>
        <v>0</v>
      </c>
      <c r="D33" s="39">
        <f>RAWDATA!D29</f>
        <v>0</v>
      </c>
      <c r="E33" s="39">
        <f>RAWDATA!E29</f>
        <v>0</v>
      </c>
      <c r="F33" s="53"/>
      <c r="G33" s="54"/>
      <c r="H33" s="54"/>
      <c r="I33" s="54"/>
      <c r="J33" s="54"/>
      <c r="K33" s="54"/>
      <c r="L33" s="54"/>
      <c r="M33" s="54"/>
      <c r="N33" s="54"/>
      <c r="O33" s="54"/>
      <c r="P33" s="54"/>
      <c r="Q33" s="54"/>
      <c r="R33" s="54"/>
      <c r="S33" s="54"/>
      <c r="T33" s="54"/>
      <c r="U33" s="53"/>
      <c r="V33" s="55"/>
      <c r="W33" s="55"/>
    </row>
    <row r="34" spans="1:23" ht="14.45" customHeight="1" x14ac:dyDescent="0.25">
      <c r="A34" s="38">
        <v>29</v>
      </c>
      <c r="B34" s="39">
        <f>RAWDATA!B30</f>
        <v>0</v>
      </c>
      <c r="C34" s="39">
        <f>RAWDATA!C30</f>
        <v>0</v>
      </c>
      <c r="D34" s="39">
        <f>RAWDATA!D30</f>
        <v>0</v>
      </c>
      <c r="E34" s="39">
        <f>RAWDATA!E30</f>
        <v>0</v>
      </c>
      <c r="F34" s="53"/>
      <c r="G34" s="54"/>
      <c r="H34" s="54"/>
      <c r="I34" s="54"/>
      <c r="J34" s="54"/>
      <c r="K34" s="54"/>
      <c r="L34" s="54"/>
      <c r="M34" s="54"/>
      <c r="N34" s="54"/>
      <c r="O34" s="54"/>
      <c r="P34" s="54"/>
      <c r="Q34" s="54"/>
      <c r="R34" s="54"/>
      <c r="S34" s="54"/>
      <c r="T34" s="54"/>
      <c r="U34" s="53"/>
      <c r="V34" s="55"/>
      <c r="W34" s="55"/>
    </row>
    <row r="35" spans="1:23" ht="14.45" customHeight="1" x14ac:dyDescent="0.25">
      <c r="A35" s="38">
        <v>30</v>
      </c>
      <c r="B35" s="39">
        <f>RAWDATA!B31</f>
        <v>0</v>
      </c>
      <c r="C35" s="39">
        <f>RAWDATA!C31</f>
        <v>0</v>
      </c>
      <c r="D35" s="39">
        <f>RAWDATA!D31</f>
        <v>0</v>
      </c>
      <c r="E35" s="39">
        <f>RAWDATA!E31</f>
        <v>0</v>
      </c>
      <c r="F35" s="53"/>
      <c r="G35" s="54"/>
      <c r="H35" s="54"/>
      <c r="I35" s="54"/>
      <c r="J35" s="54"/>
      <c r="K35" s="54"/>
      <c r="L35" s="54"/>
      <c r="M35" s="54"/>
      <c r="N35" s="54"/>
      <c r="O35" s="54"/>
      <c r="P35" s="54"/>
      <c r="Q35" s="54"/>
      <c r="R35" s="54"/>
      <c r="S35" s="54"/>
      <c r="T35" s="54"/>
      <c r="U35" s="53"/>
      <c r="V35" s="55"/>
      <c r="W35" s="55"/>
    </row>
    <row r="36" spans="1:23" ht="14.45" customHeight="1" x14ac:dyDescent="0.25">
      <c r="A36" s="38">
        <v>31</v>
      </c>
      <c r="B36" s="39">
        <f>RAWDATA!B32</f>
        <v>0</v>
      </c>
      <c r="C36" s="39">
        <f>RAWDATA!C32</f>
        <v>0</v>
      </c>
      <c r="D36" s="39">
        <f>RAWDATA!D32</f>
        <v>0</v>
      </c>
      <c r="E36" s="39">
        <f>RAWDATA!E32</f>
        <v>0</v>
      </c>
      <c r="F36" s="53"/>
      <c r="G36" s="54"/>
      <c r="H36" s="54"/>
      <c r="I36" s="54"/>
      <c r="J36" s="54"/>
      <c r="K36" s="54"/>
      <c r="L36" s="54"/>
      <c r="M36" s="54"/>
      <c r="N36" s="54"/>
      <c r="O36" s="54"/>
      <c r="P36" s="54"/>
      <c r="Q36" s="54"/>
      <c r="R36" s="54"/>
      <c r="S36" s="54"/>
      <c r="T36" s="54"/>
      <c r="U36" s="53"/>
      <c r="V36" s="55"/>
      <c r="W36" s="55"/>
    </row>
    <row r="37" spans="1:23" ht="14.45" customHeight="1" x14ac:dyDescent="0.25">
      <c r="A37" s="38">
        <v>32</v>
      </c>
      <c r="B37" s="39">
        <f>RAWDATA!B33</f>
        <v>0</v>
      </c>
      <c r="C37" s="39">
        <f>RAWDATA!C33</f>
        <v>0</v>
      </c>
      <c r="D37" s="39">
        <f>RAWDATA!D33</f>
        <v>0</v>
      </c>
      <c r="E37" s="39">
        <f>RAWDATA!E33</f>
        <v>0</v>
      </c>
      <c r="F37" s="53"/>
      <c r="G37" s="54"/>
      <c r="H37" s="54"/>
      <c r="I37" s="54"/>
      <c r="J37" s="54"/>
      <c r="K37" s="54"/>
      <c r="L37" s="54"/>
      <c r="M37" s="54"/>
      <c r="N37" s="54"/>
      <c r="O37" s="54"/>
      <c r="P37" s="54"/>
      <c r="Q37" s="54"/>
      <c r="R37" s="54"/>
      <c r="S37" s="54"/>
      <c r="T37" s="54"/>
      <c r="U37" s="53"/>
      <c r="V37" s="55"/>
      <c r="W37" s="55"/>
    </row>
    <row r="38" spans="1:23" ht="14.45" customHeight="1" x14ac:dyDescent="0.25">
      <c r="A38" s="38">
        <v>33</v>
      </c>
      <c r="B38" s="39">
        <f>RAWDATA!B34</f>
        <v>0</v>
      </c>
      <c r="C38" s="39">
        <f>RAWDATA!C34</f>
        <v>0</v>
      </c>
      <c r="D38" s="39">
        <f>RAWDATA!D34</f>
        <v>0</v>
      </c>
      <c r="E38" s="39">
        <f>RAWDATA!E34</f>
        <v>0</v>
      </c>
      <c r="F38" s="53"/>
      <c r="G38" s="54"/>
      <c r="H38" s="54"/>
      <c r="I38" s="54"/>
      <c r="J38" s="54"/>
      <c r="K38" s="54"/>
      <c r="L38" s="54"/>
      <c r="M38" s="54"/>
      <c r="N38" s="54"/>
      <c r="O38" s="54"/>
      <c r="P38" s="54"/>
      <c r="Q38" s="54"/>
      <c r="R38" s="54"/>
      <c r="S38" s="54"/>
      <c r="T38" s="54"/>
      <c r="U38" s="53"/>
      <c r="V38" s="55"/>
      <c r="W38" s="55"/>
    </row>
    <row r="39" spans="1:23" ht="14.45" customHeight="1" x14ac:dyDescent="0.25">
      <c r="A39" s="38">
        <v>34</v>
      </c>
      <c r="B39" s="39">
        <f>RAWDATA!B35</f>
        <v>0</v>
      </c>
      <c r="C39" s="39">
        <f>RAWDATA!C35</f>
        <v>0</v>
      </c>
      <c r="D39" s="39">
        <f>RAWDATA!D35</f>
        <v>0</v>
      </c>
      <c r="E39" s="39">
        <f>RAWDATA!E35</f>
        <v>0</v>
      </c>
      <c r="F39" s="53"/>
      <c r="G39" s="54"/>
      <c r="H39" s="54"/>
      <c r="I39" s="54"/>
      <c r="J39" s="54"/>
      <c r="K39" s="54"/>
      <c r="L39" s="54"/>
      <c r="M39" s="54"/>
      <c r="N39" s="54"/>
      <c r="O39" s="54"/>
      <c r="P39" s="54"/>
      <c r="Q39" s="54"/>
      <c r="R39" s="54"/>
      <c r="S39" s="54"/>
      <c r="T39" s="54"/>
      <c r="U39" s="53"/>
      <c r="V39" s="55"/>
      <c r="W39" s="55"/>
    </row>
    <row r="40" spans="1:23" ht="14.45" customHeight="1" x14ac:dyDescent="0.25">
      <c r="A40" s="38">
        <v>35</v>
      </c>
      <c r="B40" s="39">
        <f>RAWDATA!B36</f>
        <v>0</v>
      </c>
      <c r="C40" s="39">
        <f>RAWDATA!C36</f>
        <v>0</v>
      </c>
      <c r="D40" s="39">
        <f>RAWDATA!D36</f>
        <v>0</v>
      </c>
      <c r="E40" s="39">
        <f>RAWDATA!E36</f>
        <v>0</v>
      </c>
      <c r="F40" s="53"/>
      <c r="G40" s="54"/>
      <c r="H40" s="54"/>
      <c r="I40" s="54"/>
      <c r="J40" s="54"/>
      <c r="K40" s="54"/>
      <c r="L40" s="54"/>
      <c r="M40" s="54"/>
      <c r="N40" s="54"/>
      <c r="O40" s="54"/>
      <c r="P40" s="54"/>
      <c r="Q40" s="54"/>
      <c r="R40" s="54"/>
      <c r="S40" s="54"/>
      <c r="T40" s="54"/>
      <c r="U40" s="53"/>
      <c r="V40" s="55"/>
      <c r="W40" s="55"/>
    </row>
  </sheetData>
  <sheetProtection sheet="1" objects="1" scenarios="1"/>
  <mergeCells count="11">
    <mergeCell ref="A1:W1"/>
    <mergeCell ref="A2:W2"/>
    <mergeCell ref="A3:E3"/>
    <mergeCell ref="G3:W3"/>
    <mergeCell ref="A4:A5"/>
    <mergeCell ref="B4:B5"/>
    <mergeCell ref="C4:C5"/>
    <mergeCell ref="D4:D5"/>
    <mergeCell ref="E4:E5"/>
    <mergeCell ref="V4:V5"/>
    <mergeCell ref="W4:W5"/>
  </mergeCells>
  <pageMargins left="0.70866141732283472" right="0.70866141732283472" top="1.2992125984251972" bottom="1.1023622047244088" header="0.70866141732283472" footer="0.55118110236220474"/>
  <pageSetup paperSize="9" scale="65" orientation="landscape" horizontalDpi="2147483648"/>
  <headerFooter>
    <oddHeader>&amp;L&amp;G&amp;R&amp;"Arial Black,Standard"&amp;36 SpZ</oddHeader>
    <oddFooter>&amp;C&amp;D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workbookViewId="0">
      <selection activeCell="D4" sqref="D4"/>
    </sheetView>
  </sheetViews>
  <sheetFormatPr baseColWidth="10" defaultColWidth="11.42578125" defaultRowHeight="15" x14ac:dyDescent="0.25"/>
  <cols>
    <col min="1" max="1" width="18" style="56" customWidth="1"/>
    <col min="2" max="2" width="12.85546875" customWidth="1"/>
    <col min="4" max="4" width="15.42578125" style="57" customWidth="1"/>
    <col min="5" max="5" width="18.140625" style="58" customWidth="1"/>
    <col min="6" max="6" width="35.42578125" customWidth="1"/>
    <col min="7" max="7" width="31.42578125" bestFit="1" customWidth="1"/>
    <col min="8" max="8" width="46.42578125" customWidth="1"/>
  </cols>
  <sheetData>
    <row r="1" spans="1:8" x14ac:dyDescent="0.25">
      <c r="A1" s="56" t="s">
        <v>4</v>
      </c>
      <c r="B1" t="s">
        <v>43</v>
      </c>
      <c r="C1" t="s">
        <v>44</v>
      </c>
      <c r="D1" s="59" t="s">
        <v>14</v>
      </c>
      <c r="E1" s="58" t="s">
        <v>45</v>
      </c>
      <c r="F1" t="s">
        <v>46</v>
      </c>
      <c r="G1" t="s">
        <v>47</v>
      </c>
      <c r="H1" t="s">
        <v>48</v>
      </c>
    </row>
    <row r="2" spans="1:8" x14ac:dyDescent="0.25">
      <c r="A2" s="2" t="str">
        <f>IF(Notenliste!D2=0," ",Notenliste!D2)</f>
        <v>applicant.tag</v>
      </c>
      <c r="B2" s="1"/>
      <c r="C2" s="1" t="str">
        <f>IF(Notenliste!D2&lt;&gt;0,IF(Notenliste!V2&lt;&gt;0,Notenliste!V2,Notenliste!$B$43)," ")</f>
        <v>attendance.ects_points</v>
      </c>
      <c r="D2" s="60" t="e">
        <f>IF(Notenliste!D2=0," ",IF(Notenliste!T2="KP"," ",IF(Notenliste!T2="NB","nicht bestanden",IF(OR(Notenliste!W2="x", Notenliste!W2="X"),"bestanden",Notenliste!T2))))</f>
        <v>#N/A</v>
      </c>
      <c r="E2" s="61" t="str">
        <f>IF(Notenliste!D2&lt;&gt;0,Notenliste!$B$48," ")</f>
        <v>exam_date</v>
      </c>
      <c r="F2" s="1"/>
      <c r="G2" s="1"/>
      <c r="H2" s="1"/>
    </row>
    <row r="3" spans="1:8" x14ac:dyDescent="0.25">
      <c r="A3" s="2" t="str">
        <f>IF(Notenliste!D3=0," ",Notenliste!D3)</f>
        <v xml:space="preserve"> </v>
      </c>
      <c r="B3" s="1"/>
      <c r="C3" s="1" t="str">
        <f>IF(Notenliste!D3&lt;&gt;0,IF(Notenliste!V3&lt;&gt;0,Notenliste!V3,Notenliste!$B$43)," ")</f>
        <v xml:space="preserve"> </v>
      </c>
      <c r="D3" s="60" t="str">
        <f>IF(Notenliste!D3=0," ",IF(Notenliste!T3="KP"," ",IF(Notenliste!T3="NB","nicht bestanden",IF(OR(Notenliste!W3="x", Notenliste!W3="X"),"bestanden",Notenliste!T3))))</f>
        <v xml:space="preserve"> </v>
      </c>
      <c r="E3" s="61" t="str">
        <f>IF(Notenliste!D3&lt;&gt;0,Notenliste!$B$48," ")</f>
        <v xml:space="preserve"> </v>
      </c>
      <c r="F3" s="1"/>
      <c r="G3" s="1"/>
      <c r="H3" s="1"/>
    </row>
    <row r="4" spans="1:8" x14ac:dyDescent="0.25">
      <c r="A4" s="2" t="str">
        <f>IF(Notenliste!D4=0," ",Notenliste!D4)</f>
        <v xml:space="preserve"> </v>
      </c>
      <c r="B4" s="1"/>
      <c r="C4" s="1" t="str">
        <f>IF(Notenliste!D4&lt;&gt;0,IF(Notenliste!V4&lt;&gt;0,Notenliste!V4,Notenliste!$B$43)," ")</f>
        <v xml:space="preserve"> </v>
      </c>
      <c r="D4" s="60" t="str">
        <f>IF(Notenliste!D4=0," ",IF(Notenliste!T4="KP"," ",IF(Notenliste!T4="NB","nicht bestanden",IF(OR(Notenliste!W4="x", Notenliste!W4="X"),"bestanden",Notenliste!T4))))</f>
        <v xml:space="preserve"> </v>
      </c>
      <c r="E4" s="61" t="str">
        <f>IF(Notenliste!D4&lt;&gt;0,Notenliste!$B$48," ")</f>
        <v xml:space="preserve"> </v>
      </c>
      <c r="F4" s="1"/>
      <c r="G4" s="1"/>
      <c r="H4" s="1"/>
    </row>
    <row r="5" spans="1:8" x14ac:dyDescent="0.25">
      <c r="A5" s="2" t="str">
        <f>IF(Notenliste!D5=0," ",Notenliste!D5)</f>
        <v xml:space="preserve"> </v>
      </c>
      <c r="B5" s="1"/>
      <c r="C5" s="1" t="str">
        <f>IF(Notenliste!D5&lt;&gt;0,IF(Notenliste!V5&lt;&gt;0,Notenliste!V5,Notenliste!$B$43)," ")</f>
        <v xml:space="preserve"> </v>
      </c>
      <c r="D5" s="60" t="str">
        <f>IF(Notenliste!D5=0," ",IF(Notenliste!T5="KP"," ",IF(Notenliste!T5="NB","nicht bestanden",IF(OR(Notenliste!W5="x", Notenliste!W5="X"),"bestanden",Notenliste!T5))))</f>
        <v xml:space="preserve"> </v>
      </c>
      <c r="E5" s="61" t="str">
        <f>IF(Notenliste!D5&lt;&gt;0,Notenliste!$B$48," ")</f>
        <v xml:space="preserve"> </v>
      </c>
      <c r="F5" s="1"/>
      <c r="G5" s="1"/>
      <c r="H5" s="1"/>
    </row>
    <row r="6" spans="1:8" x14ac:dyDescent="0.25">
      <c r="A6" s="2" t="str">
        <f>IF(Notenliste!D6=0," ",Notenliste!D6)</f>
        <v xml:space="preserve"> </v>
      </c>
      <c r="B6" s="1"/>
      <c r="C6" s="1" t="str">
        <f>IF(Notenliste!D6&lt;&gt;0,IF(Notenliste!V6&lt;&gt;0,Notenliste!V6,Notenliste!$B$43)," ")</f>
        <v xml:space="preserve"> </v>
      </c>
      <c r="D6" s="60" t="str">
        <f>IF(Notenliste!D6=0," ",IF(Notenliste!T6="KP"," ",IF(Notenliste!T6="NB","nicht bestanden",IF(OR(Notenliste!W6="x", Notenliste!W6="X"),"bestanden",Notenliste!T6))))</f>
        <v xml:space="preserve"> </v>
      </c>
      <c r="E6" s="61" t="str">
        <f>IF(Notenliste!D6&lt;&gt;0,Notenliste!$B$48," ")</f>
        <v xml:space="preserve"> </v>
      </c>
      <c r="F6" s="1"/>
      <c r="G6" s="1"/>
      <c r="H6" s="1"/>
    </row>
    <row r="7" spans="1:8" x14ac:dyDescent="0.25">
      <c r="A7" s="2" t="str">
        <f>IF(Notenliste!D7=0," ",Notenliste!D7)</f>
        <v xml:space="preserve"> </v>
      </c>
      <c r="B7" s="1"/>
      <c r="C7" s="1" t="str">
        <f>IF(Notenliste!D7&lt;&gt;0,IF(Notenliste!V7&lt;&gt;0,Notenliste!V7,Notenliste!$B$43)," ")</f>
        <v xml:space="preserve"> </v>
      </c>
      <c r="D7" s="60" t="str">
        <f>IF(Notenliste!D7=0," ",IF(Notenliste!T7="KP"," ",IF(Notenliste!T7="NB","nicht bestanden",IF(OR(Notenliste!W7="x", Notenliste!W7="X"),"bestanden",Notenliste!T7))))</f>
        <v xml:space="preserve"> </v>
      </c>
      <c r="E7" s="61" t="str">
        <f>IF(Notenliste!D7&lt;&gt;0,Notenliste!$B$48," ")</f>
        <v xml:space="preserve"> </v>
      </c>
      <c r="F7" s="1"/>
      <c r="G7" s="1"/>
      <c r="H7" s="1"/>
    </row>
    <row r="8" spans="1:8" x14ac:dyDescent="0.25">
      <c r="A8" s="2" t="str">
        <f>IF(Notenliste!D8=0," ",Notenliste!D8)</f>
        <v xml:space="preserve"> </v>
      </c>
      <c r="B8" s="1"/>
      <c r="C8" s="1" t="str">
        <f>IF(Notenliste!D8&lt;&gt;0,IF(Notenliste!V8&lt;&gt;0,Notenliste!V8,Notenliste!$B$43)," ")</f>
        <v xml:space="preserve"> </v>
      </c>
      <c r="D8" s="60" t="str">
        <f>IF(Notenliste!D8=0," ",IF(Notenliste!T8="KP"," ",IF(Notenliste!T8="NB","nicht bestanden",IF(OR(Notenliste!W8="x", Notenliste!W8="X"),"bestanden",Notenliste!T8))))</f>
        <v xml:space="preserve"> </v>
      </c>
      <c r="E8" s="61" t="str">
        <f>IF(Notenliste!D8&lt;&gt;0,Notenliste!$B$48," ")</f>
        <v xml:space="preserve"> </v>
      </c>
      <c r="F8" s="1"/>
      <c r="G8" s="1"/>
      <c r="H8" s="1"/>
    </row>
    <row r="9" spans="1:8" x14ac:dyDescent="0.25">
      <c r="A9" s="2" t="str">
        <f>IF(Notenliste!D9=0," ",Notenliste!D9)</f>
        <v xml:space="preserve"> </v>
      </c>
      <c r="B9" s="1"/>
      <c r="C9" s="1" t="str">
        <f>IF(Notenliste!D9&lt;&gt;0,IF(Notenliste!V9&lt;&gt;0,Notenliste!V9,Notenliste!$B$43)," ")</f>
        <v xml:space="preserve"> </v>
      </c>
      <c r="D9" s="60" t="str">
        <f>IF(Notenliste!D9=0," ",IF(Notenliste!T9="KP"," ",IF(Notenliste!T9="NB","nicht bestanden",IF(OR(Notenliste!W9="x", Notenliste!W9="X"),"bestanden",Notenliste!T9))))</f>
        <v xml:space="preserve"> </v>
      </c>
      <c r="E9" s="61" t="str">
        <f>IF(Notenliste!D9&lt;&gt;0,Notenliste!$B$48," ")</f>
        <v xml:space="preserve"> </v>
      </c>
      <c r="F9" s="1"/>
      <c r="G9" s="1"/>
      <c r="H9" s="1"/>
    </row>
    <row r="10" spans="1:8" x14ac:dyDescent="0.25">
      <c r="A10" s="2" t="str">
        <f>IF(Notenliste!D10=0," ",Notenliste!D10)</f>
        <v xml:space="preserve"> </v>
      </c>
      <c r="B10" s="1"/>
      <c r="C10" s="1" t="str">
        <f>IF(Notenliste!D10&lt;&gt;0,IF(Notenliste!V10&lt;&gt;0,Notenliste!V10,Notenliste!$B$43)," ")</f>
        <v xml:space="preserve"> </v>
      </c>
      <c r="D10" s="60" t="str">
        <f>IF(Notenliste!D10=0," ",IF(Notenliste!T10="KP"," ",IF(Notenliste!T10="NB","nicht bestanden",IF(OR(Notenliste!W10="x", Notenliste!W10="X"),"bestanden",Notenliste!T10))))</f>
        <v xml:space="preserve"> </v>
      </c>
      <c r="E10" s="61" t="str">
        <f>IF(Notenliste!D10&lt;&gt;0,Notenliste!$B$48," ")</f>
        <v xml:space="preserve"> </v>
      </c>
      <c r="F10" s="1"/>
      <c r="G10" s="1"/>
      <c r="H10" s="1"/>
    </row>
    <row r="11" spans="1:8" x14ac:dyDescent="0.25">
      <c r="A11" s="2" t="str">
        <f>IF(Notenliste!D11=0," ",Notenliste!D11)</f>
        <v xml:space="preserve"> </v>
      </c>
      <c r="B11" s="1"/>
      <c r="C11" s="1" t="str">
        <f>IF(Notenliste!D11&lt;&gt;0,IF(Notenliste!V11&lt;&gt;0,Notenliste!V11,Notenliste!$B$43)," ")</f>
        <v xml:space="preserve"> </v>
      </c>
      <c r="D11" s="60" t="str">
        <f>IF(Notenliste!D11=0," ",IF(Notenliste!T11="KP"," ",IF(Notenliste!T11="NB","nicht bestanden",IF(OR(Notenliste!W11="x", Notenliste!W11="X"),"bestanden",Notenliste!T11))))</f>
        <v xml:space="preserve"> </v>
      </c>
      <c r="E11" s="61" t="str">
        <f>IF(Notenliste!D11&lt;&gt;0,Notenliste!$B$48," ")</f>
        <v xml:space="preserve"> </v>
      </c>
      <c r="F11" s="1"/>
      <c r="G11" s="1"/>
      <c r="H11" s="1"/>
    </row>
    <row r="12" spans="1:8" x14ac:dyDescent="0.25">
      <c r="A12" s="2" t="str">
        <f>IF(Notenliste!D12=0," ",Notenliste!D12)</f>
        <v xml:space="preserve"> </v>
      </c>
      <c r="B12" s="1"/>
      <c r="C12" s="1" t="str">
        <f>IF(Notenliste!D12&lt;&gt;0,IF(Notenliste!V12&lt;&gt;0,Notenliste!V12,Notenliste!$B$43)," ")</f>
        <v xml:space="preserve"> </v>
      </c>
      <c r="D12" s="60" t="str">
        <f>IF(Notenliste!D12=0," ",IF(Notenliste!T12="KP"," ",IF(Notenliste!T12="NB","nicht bestanden",IF(OR(Notenliste!W12="x", Notenliste!W12="X"),"bestanden",Notenliste!T12))))</f>
        <v xml:space="preserve"> </v>
      </c>
      <c r="E12" s="61" t="str">
        <f>IF(Notenliste!D12&lt;&gt;0,Notenliste!$B$48," ")</f>
        <v xml:space="preserve"> </v>
      </c>
      <c r="F12" s="1"/>
      <c r="G12" s="1"/>
      <c r="H12" s="1"/>
    </row>
    <row r="13" spans="1:8" x14ac:dyDescent="0.25">
      <c r="A13" s="2" t="str">
        <f>IF(Notenliste!D13=0," ",Notenliste!D13)</f>
        <v xml:space="preserve"> </v>
      </c>
      <c r="B13" s="1"/>
      <c r="C13" s="1" t="str">
        <f>IF(Notenliste!D13&lt;&gt;0,IF(Notenliste!V13&lt;&gt;0,Notenliste!V13,Notenliste!$B$43)," ")</f>
        <v xml:space="preserve"> </v>
      </c>
      <c r="D13" s="60" t="str">
        <f>IF(Notenliste!D13=0," ",IF(Notenliste!T13="KP"," ",IF(Notenliste!T13="NB","nicht bestanden",IF(OR(Notenliste!W13="x", Notenliste!W13="X"),"bestanden",Notenliste!T13))))</f>
        <v xml:space="preserve"> </v>
      </c>
      <c r="E13" s="61" t="str">
        <f>IF(Notenliste!D13&lt;&gt;0,Notenliste!$B$48," ")</f>
        <v xml:space="preserve"> </v>
      </c>
      <c r="F13" s="1"/>
      <c r="G13" s="1"/>
      <c r="H13" s="1"/>
    </row>
    <row r="14" spans="1:8" x14ac:dyDescent="0.25">
      <c r="A14" s="2" t="str">
        <f>IF(Notenliste!D14=0," ",Notenliste!D14)</f>
        <v xml:space="preserve"> </v>
      </c>
      <c r="B14" s="1"/>
      <c r="C14" s="1" t="str">
        <f>IF(Notenliste!D14&lt;&gt;0,IF(Notenliste!V14&lt;&gt;0,Notenliste!V14,Notenliste!$B$43)," ")</f>
        <v xml:space="preserve"> </v>
      </c>
      <c r="D14" s="60" t="str">
        <f>IF(Notenliste!D14=0," ",IF(Notenliste!T14="KP"," ",IF(Notenliste!T14="NB","nicht bestanden",IF(OR(Notenliste!W14="x", Notenliste!W14="X"),"bestanden",Notenliste!T14))))</f>
        <v xml:space="preserve"> </v>
      </c>
      <c r="E14" s="61" t="str">
        <f>IF(Notenliste!D14&lt;&gt;0,Notenliste!$B$48," ")</f>
        <v xml:space="preserve"> </v>
      </c>
      <c r="F14" s="1"/>
      <c r="G14" s="1"/>
      <c r="H14" s="1"/>
    </row>
    <row r="15" spans="1:8" x14ac:dyDescent="0.25">
      <c r="A15" s="2" t="str">
        <f>IF(Notenliste!D15=0," ",Notenliste!D15)</f>
        <v xml:space="preserve"> </v>
      </c>
      <c r="B15" s="1"/>
      <c r="C15" s="1" t="str">
        <f>IF(Notenliste!D15&lt;&gt;0,IF(Notenliste!V15&lt;&gt;0,Notenliste!V15,Notenliste!$B$43)," ")</f>
        <v xml:space="preserve"> </v>
      </c>
      <c r="D15" s="60" t="str">
        <f>IF(Notenliste!D15=0," ",IF(Notenliste!T15="KP"," ",IF(Notenliste!T15="NB","nicht bestanden",IF(OR(Notenliste!W15="x", Notenliste!W15="X"),"bestanden",Notenliste!T15))))</f>
        <v xml:space="preserve"> </v>
      </c>
      <c r="E15" s="61" t="str">
        <f>IF(Notenliste!D15&lt;&gt;0,Notenliste!$B$48," ")</f>
        <v xml:space="preserve"> </v>
      </c>
      <c r="F15" s="1"/>
      <c r="G15" s="1"/>
      <c r="H15" s="1"/>
    </row>
    <row r="16" spans="1:8" x14ac:dyDescent="0.25">
      <c r="A16" s="2" t="str">
        <f>IF(Notenliste!D16=0," ",Notenliste!D16)</f>
        <v xml:space="preserve"> </v>
      </c>
      <c r="B16" s="1"/>
      <c r="C16" s="1" t="str">
        <f>IF(Notenliste!D16&lt;&gt;0,IF(Notenliste!V16&lt;&gt;0,Notenliste!V16,Notenliste!$B$43)," ")</f>
        <v xml:space="preserve"> </v>
      </c>
      <c r="D16" s="60" t="str">
        <f>IF(Notenliste!D16=0," ",IF(Notenliste!T16="KP"," ",IF(Notenliste!T16="NB","nicht bestanden",IF(OR(Notenliste!W16="x", Notenliste!W16="X"),"bestanden",Notenliste!T16))))</f>
        <v xml:space="preserve"> </v>
      </c>
      <c r="E16" s="61" t="str">
        <f>IF(Notenliste!D16&lt;&gt;0,Notenliste!$B$48," ")</f>
        <v xml:space="preserve"> </v>
      </c>
      <c r="F16" s="1"/>
      <c r="G16" s="1"/>
      <c r="H16" s="1"/>
    </row>
    <row r="17" spans="1:8" x14ac:dyDescent="0.25">
      <c r="A17" s="2" t="str">
        <f>IF(Notenliste!D17=0," ",Notenliste!D17)</f>
        <v xml:space="preserve"> </v>
      </c>
      <c r="B17" s="1"/>
      <c r="C17" s="1" t="str">
        <f>IF(Notenliste!D17&lt;&gt;0,IF(Notenliste!V17&lt;&gt;0,Notenliste!V17,Notenliste!$B$43)," ")</f>
        <v xml:space="preserve"> </v>
      </c>
      <c r="D17" s="60" t="str">
        <f>IF(Notenliste!D17=0," ",IF(Notenliste!T17="KP"," ",IF(Notenliste!T17="NB","nicht bestanden",IF(OR(Notenliste!W17="x", Notenliste!W17="X"),"bestanden",Notenliste!T17))))</f>
        <v xml:space="preserve"> </v>
      </c>
      <c r="E17" s="61" t="str">
        <f>IF(Notenliste!D17&lt;&gt;0,Notenliste!$B$48," ")</f>
        <v xml:space="preserve"> </v>
      </c>
      <c r="F17" s="1"/>
      <c r="G17" s="1"/>
      <c r="H17" s="1"/>
    </row>
    <row r="18" spans="1:8" x14ac:dyDescent="0.25">
      <c r="A18" s="2" t="str">
        <f>IF(Notenliste!D18=0," ",Notenliste!D18)</f>
        <v xml:space="preserve"> </v>
      </c>
      <c r="B18" s="1"/>
      <c r="C18" s="1" t="str">
        <f>IF(Notenliste!D18&lt;&gt;0,IF(Notenliste!V18&lt;&gt;0,Notenliste!V18,Notenliste!$B$43)," ")</f>
        <v xml:space="preserve"> </v>
      </c>
      <c r="D18" s="60" t="str">
        <f>IF(Notenliste!D18=0," ",IF(Notenliste!T18="KP"," ",IF(Notenliste!T18="NB","nicht bestanden",IF(OR(Notenliste!W18="x", Notenliste!W18="X"),"bestanden",Notenliste!T18))))</f>
        <v xml:space="preserve"> </v>
      </c>
      <c r="E18" s="61" t="str">
        <f>IF(Notenliste!D18&lt;&gt;0,Notenliste!$B$48," ")</f>
        <v xml:space="preserve"> </v>
      </c>
      <c r="F18" s="1"/>
      <c r="G18" s="1"/>
      <c r="H18" s="1"/>
    </row>
    <row r="19" spans="1:8" x14ac:dyDescent="0.25">
      <c r="A19" s="2" t="str">
        <f>IF(Notenliste!D19=0," ",Notenliste!D19)</f>
        <v xml:space="preserve"> </v>
      </c>
      <c r="B19" s="1"/>
      <c r="C19" s="1" t="str">
        <f>IF(Notenliste!D19&lt;&gt;0,IF(Notenliste!V19&lt;&gt;0,Notenliste!V19,Notenliste!$B$43)," ")</f>
        <v xml:space="preserve"> </v>
      </c>
      <c r="D19" s="60" t="str">
        <f>IF(Notenliste!D19=0," ",IF(Notenliste!T19="KP"," ",IF(Notenliste!T19="NB","nicht bestanden",IF(OR(Notenliste!W19="x", Notenliste!W19="X"),"bestanden",Notenliste!T19))))</f>
        <v xml:space="preserve"> </v>
      </c>
      <c r="E19" s="61" t="str">
        <f>IF(Notenliste!D19&lt;&gt;0,Notenliste!$B$48," ")</f>
        <v xml:space="preserve"> </v>
      </c>
      <c r="F19" s="1"/>
      <c r="G19" s="1"/>
      <c r="H19" s="1"/>
    </row>
    <row r="20" spans="1:8" x14ac:dyDescent="0.25">
      <c r="A20" s="2" t="str">
        <f>IF(Notenliste!D20=0," ",Notenliste!D20)</f>
        <v xml:space="preserve"> </v>
      </c>
      <c r="B20" s="1"/>
      <c r="C20" s="1" t="str">
        <f>IF(Notenliste!D20&lt;&gt;0,IF(Notenliste!V20&lt;&gt;0,Notenliste!V20,Notenliste!$B$43)," ")</f>
        <v xml:space="preserve"> </v>
      </c>
      <c r="D20" s="60" t="str">
        <f>IF(Notenliste!D20=0," ",IF(Notenliste!T20="KP"," ",IF(Notenliste!T20="NB","nicht bestanden",IF(OR(Notenliste!W20="x", Notenliste!W20="X"),"bestanden",Notenliste!T20))))</f>
        <v xml:space="preserve"> </v>
      </c>
      <c r="E20" s="61" t="str">
        <f>IF(Notenliste!D20&lt;&gt;0,Notenliste!$B$48," ")</f>
        <v xml:space="preserve"> </v>
      </c>
      <c r="F20" s="1"/>
      <c r="G20" s="1"/>
      <c r="H20" s="1"/>
    </row>
    <row r="21" spans="1:8" x14ac:dyDescent="0.25">
      <c r="A21" s="2" t="str">
        <f>IF(Notenliste!D21=0," ",Notenliste!D21)</f>
        <v xml:space="preserve"> </v>
      </c>
      <c r="B21" s="1"/>
      <c r="C21" s="1" t="str">
        <f>IF(Notenliste!D21&lt;&gt;0,IF(Notenliste!V21&lt;&gt;0,Notenliste!V21,Notenliste!$B$43)," ")</f>
        <v xml:space="preserve"> </v>
      </c>
      <c r="D21" s="60" t="str">
        <f>IF(Notenliste!D21=0," ",IF(Notenliste!T21="KP"," ",IF(Notenliste!T21="NB","nicht bestanden",IF(OR(Notenliste!W21="x", Notenliste!W21="X"),"bestanden",Notenliste!T21))))</f>
        <v xml:space="preserve"> </v>
      </c>
      <c r="E21" s="61" t="str">
        <f>IF(Notenliste!D21&lt;&gt;0,Notenliste!$B$48," ")</f>
        <v xml:space="preserve"> </v>
      </c>
      <c r="F21" s="1"/>
      <c r="G21" s="1"/>
      <c r="H21" s="1"/>
    </row>
    <row r="22" spans="1:8" x14ac:dyDescent="0.25">
      <c r="A22" s="2" t="str">
        <f>IF(Notenliste!D22=0," ",Notenliste!D22)</f>
        <v xml:space="preserve"> </v>
      </c>
      <c r="B22" s="1"/>
      <c r="C22" s="1" t="str">
        <f>IF(Notenliste!D22&lt;&gt;0,IF(Notenliste!V22&lt;&gt;0,Notenliste!V22,Notenliste!$B$43)," ")</f>
        <v xml:space="preserve"> </v>
      </c>
      <c r="D22" s="60" t="str">
        <f>IF(Notenliste!D22=0," ",IF(Notenliste!T22="KP"," ",IF(Notenliste!T22="NB","nicht bestanden",IF(OR(Notenliste!W22="x", Notenliste!W22="X"),"bestanden",Notenliste!T22))))</f>
        <v xml:space="preserve"> </v>
      </c>
      <c r="E22" s="61" t="str">
        <f>IF(Notenliste!D22&lt;&gt;0,Notenliste!$B$48," ")</f>
        <v xml:space="preserve"> </v>
      </c>
      <c r="F22" s="1"/>
      <c r="G22" s="1"/>
      <c r="H22" s="1"/>
    </row>
    <row r="23" spans="1:8" x14ac:dyDescent="0.25">
      <c r="A23" s="2" t="str">
        <f>IF(Notenliste!D23=0," ",Notenliste!D23)</f>
        <v xml:space="preserve"> </v>
      </c>
      <c r="B23" s="1"/>
      <c r="C23" s="1" t="str">
        <f>IF(Notenliste!D23&lt;&gt;0,IF(Notenliste!V23&lt;&gt;0,Notenliste!V23,Notenliste!$B$43)," ")</f>
        <v xml:space="preserve"> </v>
      </c>
      <c r="D23" s="60" t="str">
        <f>IF(Notenliste!D23=0," ",IF(Notenliste!T23="KP"," ",IF(Notenliste!T23="NB","nicht bestanden",IF(OR(Notenliste!W23="x", Notenliste!W23="X"),"bestanden",Notenliste!T23))))</f>
        <v xml:space="preserve"> </v>
      </c>
      <c r="E23" s="61" t="str">
        <f>IF(Notenliste!D23&lt;&gt;0,Notenliste!$B$48," ")</f>
        <v xml:space="preserve"> </v>
      </c>
      <c r="F23" s="1"/>
      <c r="G23" s="1"/>
      <c r="H23" s="1"/>
    </row>
    <row r="24" spans="1:8" x14ac:dyDescent="0.25">
      <c r="A24" s="2" t="str">
        <f>IF(Notenliste!D24=0," ",Notenliste!D24)</f>
        <v xml:space="preserve"> </v>
      </c>
      <c r="B24" s="1"/>
      <c r="C24" s="1" t="str">
        <f>IF(Notenliste!D24&lt;&gt;0,IF(Notenliste!V24&lt;&gt;0,Notenliste!V24,Notenliste!$B$43)," ")</f>
        <v xml:space="preserve"> </v>
      </c>
      <c r="D24" s="60" t="str">
        <f>IF(Notenliste!D24=0," ",IF(Notenliste!T24="KP"," ",IF(Notenliste!T24="NB","nicht bestanden",IF(OR(Notenliste!W24="x", Notenliste!W24="X"),"bestanden",Notenliste!T24))))</f>
        <v xml:space="preserve"> </v>
      </c>
      <c r="E24" s="61" t="str">
        <f>IF(Notenliste!D24&lt;&gt;0,Notenliste!$B$48," ")</f>
        <v xml:space="preserve"> </v>
      </c>
      <c r="F24" s="1"/>
      <c r="G24" s="1"/>
      <c r="H24" s="1"/>
    </row>
    <row r="25" spans="1:8" x14ac:dyDescent="0.25">
      <c r="A25" s="2" t="str">
        <f>IF(Notenliste!D25=0," ",Notenliste!D25)</f>
        <v xml:space="preserve"> </v>
      </c>
      <c r="B25" s="1"/>
      <c r="C25" s="1" t="str">
        <f>IF(Notenliste!D25&lt;&gt;0,IF(Notenliste!V25&lt;&gt;0,Notenliste!V25,Notenliste!$B$43)," ")</f>
        <v xml:space="preserve"> </v>
      </c>
      <c r="D25" s="60" t="str">
        <f>IF(Notenliste!D25=0," ",IF(Notenliste!T25="KP"," ",IF(Notenliste!T25="NB","nicht bestanden",IF(OR(Notenliste!W25="x", Notenliste!W25="X"),"bestanden",Notenliste!T25))))</f>
        <v xml:space="preserve"> </v>
      </c>
      <c r="E25" s="61" t="str">
        <f>IF(Notenliste!D25&lt;&gt;0,Notenliste!$B$48," ")</f>
        <v xml:space="preserve"> </v>
      </c>
      <c r="F25" s="1"/>
      <c r="G25" s="1"/>
      <c r="H25" s="1"/>
    </row>
    <row r="26" spans="1:8" x14ac:dyDescent="0.25">
      <c r="A26" s="2" t="str">
        <f>IF(Notenliste!D26=0," ",Notenliste!D26)</f>
        <v xml:space="preserve"> </v>
      </c>
      <c r="B26" s="1"/>
      <c r="C26" s="1" t="str">
        <f>IF(Notenliste!D26&lt;&gt;0,IF(Notenliste!V26&lt;&gt;0,Notenliste!V26,Notenliste!$B$43)," ")</f>
        <v xml:space="preserve"> </v>
      </c>
      <c r="D26" s="60" t="str">
        <f>IF(Notenliste!D26=0," ",IF(Notenliste!T26="KP"," ",IF(Notenliste!T26="NB","nicht bestanden",IF(OR(Notenliste!W26="x", Notenliste!W26="X"),"bestanden",Notenliste!T26))))</f>
        <v xml:space="preserve"> </v>
      </c>
      <c r="E26" s="61" t="str">
        <f>IF(Notenliste!D26&lt;&gt;0,Notenliste!$B$48," ")</f>
        <v xml:space="preserve"> </v>
      </c>
      <c r="F26" s="1"/>
      <c r="G26" s="1"/>
      <c r="H26" s="1"/>
    </row>
    <row r="27" spans="1:8" x14ac:dyDescent="0.25">
      <c r="A27" s="2" t="str">
        <f>IF(Notenliste!D27=0," ",Notenliste!D27)</f>
        <v xml:space="preserve"> </v>
      </c>
      <c r="B27" s="1"/>
      <c r="C27" s="1" t="str">
        <f>IF(Notenliste!D27&lt;&gt;0,IF(Notenliste!V27&lt;&gt;0,Notenliste!V27,Notenliste!$B$43)," ")</f>
        <v xml:space="preserve"> </v>
      </c>
      <c r="D27" s="60" t="str">
        <f>IF(Notenliste!D27=0," ",IF(Notenliste!T27="KP"," ",IF(Notenliste!T27="NB","nicht bestanden",IF(OR(Notenliste!W27="x", Notenliste!W27="X"),"bestanden",Notenliste!T27))))</f>
        <v xml:space="preserve"> </v>
      </c>
      <c r="E27" s="61" t="str">
        <f>IF(Notenliste!D27&lt;&gt;0,Notenliste!$B$48," ")</f>
        <v xml:space="preserve"> </v>
      </c>
      <c r="F27" s="1"/>
      <c r="G27" s="1"/>
      <c r="H27" s="1"/>
    </row>
    <row r="28" spans="1:8" x14ac:dyDescent="0.25">
      <c r="A28" s="2" t="str">
        <f>IF(Notenliste!D28=0," ",Notenliste!D28)</f>
        <v xml:space="preserve"> </v>
      </c>
      <c r="B28" s="1"/>
      <c r="C28" s="1" t="str">
        <f>IF(Notenliste!D28&lt;&gt;0,IF(Notenliste!V28&lt;&gt;0,Notenliste!V28,Notenliste!$B$43)," ")</f>
        <v xml:space="preserve"> </v>
      </c>
      <c r="D28" s="60" t="str">
        <f>IF(Notenliste!D28=0," ",IF(Notenliste!T28="KP"," ",IF(Notenliste!T28="NB","nicht bestanden",IF(OR(Notenliste!W28="x", Notenliste!W28="X"),"bestanden",Notenliste!T28))))</f>
        <v xml:space="preserve"> </v>
      </c>
      <c r="E28" s="61" t="str">
        <f>IF(Notenliste!D28&lt;&gt;0,Notenliste!$B$48," ")</f>
        <v xml:space="preserve"> </v>
      </c>
      <c r="F28" s="1"/>
      <c r="G28" s="1"/>
      <c r="H28" s="1"/>
    </row>
    <row r="29" spans="1:8" x14ac:dyDescent="0.25">
      <c r="A29" s="2" t="str">
        <f>IF(Notenliste!D29=0," ",Notenliste!D29)</f>
        <v xml:space="preserve"> </v>
      </c>
      <c r="B29" s="1"/>
      <c r="C29" s="1" t="str">
        <f>IF(Notenliste!D29&lt;&gt;0,IF(Notenliste!V29&lt;&gt;0,Notenliste!V29,Notenliste!$B$43)," ")</f>
        <v xml:space="preserve"> </v>
      </c>
      <c r="D29" s="60" t="str">
        <f>IF(Notenliste!D29=0," ",IF(Notenliste!T29="KP"," ",IF(Notenliste!T29="NB","nicht bestanden",IF(OR(Notenliste!W29="x", Notenliste!W29="X"),"bestanden",Notenliste!T29))))</f>
        <v xml:space="preserve"> </v>
      </c>
      <c r="E29" s="61" t="str">
        <f>IF(Notenliste!D29&lt;&gt;0,Notenliste!$B$48," ")</f>
        <v xml:space="preserve"> </v>
      </c>
      <c r="F29" s="1"/>
      <c r="G29" s="1"/>
      <c r="H29" s="1"/>
    </row>
    <row r="30" spans="1:8" x14ac:dyDescent="0.25">
      <c r="A30" s="2" t="str">
        <f>IF(Notenliste!D30=0," ",Notenliste!D30)</f>
        <v xml:space="preserve"> </v>
      </c>
      <c r="B30" s="1"/>
      <c r="C30" s="1" t="str">
        <f>IF(Notenliste!D30&lt;&gt;0,IF(Notenliste!V30&lt;&gt;0,Notenliste!V30,Notenliste!$B$43)," ")</f>
        <v xml:space="preserve"> </v>
      </c>
      <c r="D30" s="60" t="str">
        <f>IF(Notenliste!D30=0," ",IF(Notenliste!T30="KP"," ",IF(Notenliste!T30="NB","nicht bestanden",IF(OR(Notenliste!W30="x", Notenliste!W30="X"),"bestanden",Notenliste!T30))))</f>
        <v xml:space="preserve"> </v>
      </c>
      <c r="E30" s="61" t="str">
        <f>IF(Notenliste!D30&lt;&gt;0,Notenliste!$B$48," ")</f>
        <v xml:space="preserve"> </v>
      </c>
      <c r="F30" s="1"/>
      <c r="G30" s="1"/>
      <c r="H30" s="1"/>
    </row>
    <row r="31" spans="1:8" x14ac:dyDescent="0.25">
      <c r="A31" s="2" t="str">
        <f>IF(Notenliste!D31=0," ",Notenliste!D31)</f>
        <v xml:space="preserve"> </v>
      </c>
      <c r="B31" s="1"/>
      <c r="C31" s="1" t="str">
        <f>IF(Notenliste!D31&lt;&gt;0,IF(Notenliste!V31&lt;&gt;0,Notenliste!V31,Notenliste!$B$43)," ")</f>
        <v xml:space="preserve"> </v>
      </c>
      <c r="D31" s="60" t="str">
        <f>IF(Notenliste!D31=0," ",IF(Notenliste!T31="KP"," ",IF(Notenliste!T31="NB","nicht bestanden",IF(OR(Notenliste!W31="x", Notenliste!W31="X"),"bestanden",Notenliste!T31))))</f>
        <v xml:space="preserve"> </v>
      </c>
      <c r="E31" s="61" t="str">
        <f>IF(Notenliste!D31&lt;&gt;0,Notenliste!$B$48," ")</f>
        <v xml:space="preserve"> </v>
      </c>
      <c r="F31" s="1"/>
      <c r="G31" s="1"/>
      <c r="H31" s="1"/>
    </row>
    <row r="32" spans="1:8" x14ac:dyDescent="0.25">
      <c r="A32" s="2" t="str">
        <f>IF(Notenliste!D32=0," ",Notenliste!D32)</f>
        <v xml:space="preserve"> </v>
      </c>
      <c r="B32" s="1"/>
      <c r="C32" s="1" t="str">
        <f>IF(Notenliste!D32&lt;&gt;0,IF(Notenliste!V32&lt;&gt;0,Notenliste!V32,Notenliste!$B$43)," ")</f>
        <v xml:space="preserve"> </v>
      </c>
      <c r="D32" s="60" t="str">
        <f>IF(Notenliste!D32=0," ",IF(Notenliste!T32="KP"," ",IF(Notenliste!T32="NB","nicht bestanden",IF(OR(Notenliste!W32="x", Notenliste!W32="X"),"bestanden",Notenliste!T32))))</f>
        <v xml:space="preserve"> </v>
      </c>
      <c r="E32" s="61" t="str">
        <f>IF(Notenliste!D32&lt;&gt;0,Notenliste!$B$48," ")</f>
        <v xml:space="preserve"> </v>
      </c>
      <c r="F32" s="1"/>
      <c r="G32" s="1"/>
      <c r="H32" s="1"/>
    </row>
    <row r="33" spans="1:8" x14ac:dyDescent="0.25">
      <c r="A33" s="2" t="str">
        <f>IF(Notenliste!D33=0," ",Notenliste!D33)</f>
        <v xml:space="preserve"> </v>
      </c>
      <c r="B33" s="1"/>
      <c r="C33" s="1" t="str">
        <f>IF(Notenliste!D33&lt;&gt;0,IF(Notenliste!V33&lt;&gt;0,Notenliste!V33,Notenliste!$B$43)," ")</f>
        <v xml:space="preserve"> </v>
      </c>
      <c r="D33" s="60" t="str">
        <f>IF(Notenliste!D33=0," ",IF(Notenliste!T33="KP"," ",IF(Notenliste!T33="NB","nicht bestanden",IF(OR(Notenliste!W33="x", Notenliste!W33="X"),"bestanden",Notenliste!T33))))</f>
        <v xml:space="preserve"> </v>
      </c>
      <c r="E33" s="61" t="str">
        <f>IF(Notenliste!D33&lt;&gt;0,Notenliste!$B$48," ")</f>
        <v xml:space="preserve"> </v>
      </c>
      <c r="F33" s="1"/>
      <c r="G33" s="1"/>
      <c r="H33" s="1"/>
    </row>
    <row r="34" spans="1:8" x14ac:dyDescent="0.25">
      <c r="A34" s="2" t="str">
        <f>IF(Notenliste!D34=0," ",Notenliste!D34)</f>
        <v xml:space="preserve"> </v>
      </c>
      <c r="B34" s="1"/>
      <c r="C34" s="1" t="str">
        <f>IF(Notenliste!D34&lt;&gt;0,IF(Notenliste!V34&lt;&gt;0,Notenliste!V34,Notenliste!$B$43)," ")</f>
        <v xml:space="preserve"> </v>
      </c>
      <c r="D34" s="60" t="str">
        <f>IF(Notenliste!D34=0," ",IF(Notenliste!T34="KP"," ",IF(Notenliste!T34="NB","nicht bestanden",IF(OR(Notenliste!W34="x", Notenliste!W34="X"),"bestanden",Notenliste!T34))))</f>
        <v xml:space="preserve"> </v>
      </c>
      <c r="E34" s="61" t="str">
        <f>IF(Notenliste!D34&lt;&gt;0,Notenliste!$B$48," ")</f>
        <v xml:space="preserve"> </v>
      </c>
      <c r="F34" s="1"/>
      <c r="G34" s="1"/>
      <c r="H34" s="1"/>
    </row>
    <row r="35" spans="1:8" x14ac:dyDescent="0.25">
      <c r="A35" s="2" t="str">
        <f>IF(Notenliste!D35=0," ",Notenliste!D35)</f>
        <v xml:space="preserve"> </v>
      </c>
      <c r="B35" s="1"/>
      <c r="C35" s="1" t="str">
        <f>IF(Notenliste!D35&lt;&gt;0,IF(Notenliste!V35&lt;&gt;0,Notenliste!V35,Notenliste!$B$43)," ")</f>
        <v xml:space="preserve"> </v>
      </c>
      <c r="D35" s="60" t="str">
        <f>IF(Notenliste!D35=0," ",IF(Notenliste!T35="KP"," ",IF(Notenliste!T35="NB","nicht bestanden",IF(OR(Notenliste!W35="x", Notenliste!W35="X"),"bestanden",Notenliste!T35))))</f>
        <v xml:space="preserve"> </v>
      </c>
      <c r="E35" s="61" t="str">
        <f>IF(Notenliste!D35&lt;&gt;0,Notenliste!$B$48," ")</f>
        <v xml:space="preserve"> </v>
      </c>
      <c r="F35" s="1"/>
      <c r="G35" s="1"/>
      <c r="H35" s="1"/>
    </row>
    <row r="36" spans="1:8" x14ac:dyDescent="0.25">
      <c r="A36" s="2" t="str">
        <f>IF(Notenliste!D36=0," ",Notenliste!D36)</f>
        <v xml:space="preserve"> </v>
      </c>
      <c r="B36" s="1"/>
      <c r="C36" s="1" t="str">
        <f>IF(Notenliste!D36&lt;&gt;0,IF(Notenliste!V36&lt;&gt;0,Notenliste!V36,Notenliste!$B$43)," ")</f>
        <v xml:space="preserve"> </v>
      </c>
      <c r="D36" s="60" t="str">
        <f>IF(Notenliste!D36=0," ",IF(Notenliste!T36="KP"," ",IF(Notenliste!T36="NB","nicht bestanden",IF(OR(Notenliste!W36="x", Notenliste!W36="X"),"bestanden",Notenliste!T36))))</f>
        <v xml:space="preserve"> </v>
      </c>
      <c r="E36" s="61" t="str">
        <f>IF(Notenliste!D36&lt;&gt;0,Notenliste!$B$48," ")</f>
        <v xml:space="preserve"> </v>
      </c>
      <c r="F36" s="1"/>
      <c r="G36" s="1"/>
      <c r="H36" s="1"/>
    </row>
  </sheetData>
  <sheetProtection sheet="1" objects="1" scenarios="1"/>
  <dataValidations count="5">
    <dataValidation type="list" showInputMessage="1" showErrorMessage="1" sqref="B1">
      <formula1>Anmeldestatus</formula1>
    </dataValidation>
    <dataValidation type="list" showInputMessage="1" showErrorMessage="1" sqref="D1">
      <formula1>Notenskala</formula1>
    </dataValidation>
    <dataValidation type="decimal" showInputMessage="1" showErrorMessage="1" sqref="C1 C37:C1048576">
      <formula1>0</formula1>
      <formula2>120</formula2>
    </dataValidation>
    <dataValidation type="date" showInputMessage="1" showErrorMessage="1" sqref="E1 E37:E1048576">
      <formula1>41275</formula1>
      <formula2>73050</formula2>
    </dataValidation>
    <dataValidation type="whole" showInputMessage="1" showErrorMessage="1" sqref="A1 A37:A1048576">
      <formula1>0</formula1>
      <formula2>99999999</formula2>
    </dataValidation>
  </dataValidations>
  <pageMargins left="0.7" right="0.7" top="0.78740157500000008" bottom="0.78740157500000008"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2</vt:i4>
      </vt:variant>
    </vt:vector>
  </HeadingPairs>
  <TitlesOfParts>
    <vt:vector size="8" baseType="lpstr">
      <vt:lpstr>RAWDATA</vt:lpstr>
      <vt:lpstr>Notenliste</vt:lpstr>
      <vt:lpstr>Notenverteilung</vt:lpstr>
      <vt:lpstr>Printlist</vt:lpstr>
      <vt:lpstr>Paricipantlist</vt:lpstr>
      <vt:lpstr>Teilnehmer</vt:lpstr>
      <vt:lpstr>kursname</vt:lpstr>
      <vt:lpstr>semester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Spanisch</dc:title>
  <dc:creator>Elena Moya Royo</dc:creator>
  <cp:lastModifiedBy>Windows-Benutzer</cp:lastModifiedBy>
  <cp:revision>5</cp:revision>
  <dcterms:created xsi:type="dcterms:W3CDTF">2013-02-04T17:25:48Z</dcterms:created>
  <dcterms:modified xsi:type="dcterms:W3CDTF">2026-02-09T12:53:52Z</dcterms:modified>
</cp:coreProperties>
</file>